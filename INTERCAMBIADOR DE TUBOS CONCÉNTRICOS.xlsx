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diazp\Documents\"/>
    </mc:Choice>
  </mc:AlternateContent>
  <xr:revisionPtr revIDLastSave="0" documentId="8_{199F9166-A955-4130-81F9-9F006CAD3FC4}" xr6:coauthVersionLast="47" xr6:coauthVersionMax="47" xr10:uidLastSave="{00000000-0000-0000-0000-000000000000}"/>
  <bookViews>
    <workbookView xWindow="-108" yWindow="-108" windowWidth="23256" windowHeight="12456" xr2:uid="{A6463068-9CF7-44D6-B7D8-4E87BB34AC90}"/>
  </bookViews>
  <sheets>
    <sheet name="PROCESAMIENTO PRÁCTICO" sheetId="6" r:id="rId1"/>
    <sheet name="CÁLCULOS" sheetId="5" r:id="rId2"/>
    <sheet name="PROPIEDADES DEL AGUA A 1atm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6" l="1"/>
  <c r="O6" i="6"/>
  <c r="O3" i="6"/>
  <c r="C7" i="6"/>
  <c r="O5" i="6" s="1"/>
  <c r="C6" i="6"/>
  <c r="F5" i="6"/>
  <c r="U2" i="6"/>
  <c r="J2" i="6"/>
  <c r="L2" i="6" s="1"/>
  <c r="F15" i="5"/>
  <c r="C6" i="5"/>
  <c r="C7" i="5"/>
  <c r="O5" i="5" s="1"/>
  <c r="R11" i="5"/>
  <c r="I13" i="5"/>
  <c r="I11" i="5"/>
  <c r="O8" i="5"/>
  <c r="F8" i="5"/>
  <c r="O7" i="5"/>
  <c r="O6" i="5"/>
  <c r="F5" i="5"/>
  <c r="O3" i="5"/>
  <c r="U2" i="5"/>
  <c r="J2" i="5"/>
  <c r="F17" i="5" s="1"/>
  <c r="R4" i="6" l="1"/>
  <c r="F7" i="6"/>
  <c r="F3" i="6"/>
  <c r="F6" i="6"/>
  <c r="O9" i="5"/>
  <c r="R4" i="5"/>
  <c r="F3" i="5"/>
  <c r="O10" i="5"/>
  <c r="O11" i="5" s="1"/>
  <c r="O12" i="5" s="1"/>
  <c r="O13" i="5" s="1"/>
  <c r="R9" i="5" s="1"/>
  <c r="L2" i="5"/>
  <c r="F7" i="5"/>
  <c r="F6" i="5"/>
  <c r="I4" i="6" l="1"/>
  <c r="I4" i="5"/>
  <c r="F9" i="5"/>
  <c r="F10" i="5"/>
  <c r="F11" i="5" s="1"/>
  <c r="F12" i="5" s="1"/>
  <c r="F13" i="5" s="1"/>
  <c r="I9" i="5" l="1"/>
  <c r="F16" i="5" s="1"/>
  <c r="C11" i="5" s="1"/>
  <c r="U4" i="5" l="1"/>
  <c r="L4" i="5"/>
</calcChain>
</file>

<file path=xl/sharedStrings.xml><?xml version="1.0" encoding="utf-8"?>
<sst xmlns="http://schemas.openxmlformats.org/spreadsheetml/2006/main" count="445" uniqueCount="53">
  <si>
    <t>Geometría</t>
  </si>
  <si>
    <t xml:space="preserve">Tubo central (H) </t>
  </si>
  <si>
    <t>Tin (°C) =</t>
  </si>
  <si>
    <t>Tout (°C)=</t>
  </si>
  <si>
    <t>Tm (°C) =</t>
  </si>
  <si>
    <t>Tubo exterior(C)</t>
  </si>
  <si>
    <t>Din (m)</t>
  </si>
  <si>
    <t>ρ(kg/m3)</t>
  </si>
  <si>
    <t>Espesor (m)</t>
  </si>
  <si>
    <t>v(m/s)</t>
  </si>
  <si>
    <t>Q(W) =</t>
  </si>
  <si>
    <t>Dext (m)</t>
  </si>
  <si>
    <t>D(m)</t>
  </si>
  <si>
    <t>Dh(m)</t>
  </si>
  <si>
    <t>Af int (m2)</t>
  </si>
  <si>
    <t>μ(Pa*s)</t>
  </si>
  <si>
    <t>Af ext (m2)</t>
  </si>
  <si>
    <t>Cp(J/g*°C)</t>
  </si>
  <si>
    <t>Tubo exterior (C)</t>
  </si>
  <si>
    <t>ΔP(Pa)=</t>
  </si>
  <si>
    <t>Material:</t>
  </si>
  <si>
    <t>Cobre</t>
  </si>
  <si>
    <t>k(W/m*°C)</t>
  </si>
  <si>
    <t>Rf(m2*°C/W)=</t>
  </si>
  <si>
    <t>Pr</t>
  </si>
  <si>
    <t>Rconv (m*°C/W)=</t>
  </si>
  <si>
    <t>Re</t>
  </si>
  <si>
    <t>L (m) =</t>
  </si>
  <si>
    <t>f</t>
  </si>
  <si>
    <t>Rcond (m*°C/W)=</t>
  </si>
  <si>
    <t>Rinc (m*°C/W)=</t>
  </si>
  <si>
    <t>Nu</t>
  </si>
  <si>
    <t>hin(W/m2*C)</t>
  </si>
  <si>
    <t>hin(W/m2*°C)</t>
  </si>
  <si>
    <t>U (W/m2*°C)=</t>
  </si>
  <si>
    <t>U (W/m*°C)=</t>
  </si>
  <si>
    <t>ΔTml (°C)=</t>
  </si>
  <si>
    <t xml:space="preserve">Propiedades del agua a 1atm </t>
  </si>
  <si>
    <t>Temperature (C)</t>
  </si>
  <si>
    <t>Pressure (MPa)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</si>
  <si>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</si>
  <si>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</si>
  <si>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</si>
  <si>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</si>
  <si>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</si>
  <si>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</si>
  <si>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</si>
  <si>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Sound Spd. (m/s)</t>
  </si>
  <si>
    <t>Joule-Thomson (K/MPa)</t>
  </si>
  <si>
    <t>Viscosity (Pa*s)</t>
  </si>
  <si>
    <t>Therm. Cond. (W/m*K)</t>
  </si>
  <si>
    <t>Phase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</si>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</sst>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0"/>
      <color rgb="FF000000"/>
      <name val="Source Sans Pro"/>
      <family val="2"/>
    </font>
    <font>
      <b/>
      <sz val="10"/>
      <color rgb="FF000000"/>
      <name val="Source Sans Pro"/>
      <family val="2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b/>
      <sz val="8"/>
      <color rgb="FFFA7D00"/>
      <name val="Aptos Narrow"/>
      <family val="2"/>
      <scheme val="minor"/>
    </font>
    <font>
      <sz val="9"/>
      <color rgb="FF3F3F76"/>
      <name val="Aptos Narrow"/>
      <family val="2"/>
      <scheme val="minor"/>
    </font>
    <font>
      <sz val="8"/>
      <color rgb="FF3F3F7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15">
    <xf numFmtId="0" fontId="0" fillId="0" borderId="0" xfId="0"/>
    <xf numFmtId="0" fontId="3" fillId="4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3" borderId="1" xfId="2"/>
    <xf numFmtId="0" fontId="1" fillId="2" borderId="1" xfId="1"/>
    <xf numFmtId="0" fontId="2" fillId="3" borderId="1" xfId="2" applyAlignment="1">
      <alignment vertical="center"/>
    </xf>
    <xf numFmtId="0" fontId="1" fillId="2" borderId="1" xfId="1" applyAlignment="1">
      <alignment horizontal="left"/>
    </xf>
    <xf numFmtId="0" fontId="5" fillId="5" borderId="0" xfId="3"/>
    <xf numFmtId="0" fontId="6" fillId="6" borderId="0" xfId="4"/>
    <xf numFmtId="0" fontId="8" fillId="3" borderId="1" xfId="2" applyFont="1"/>
    <xf numFmtId="0" fontId="7" fillId="3" borderId="1" xfId="2" applyFont="1"/>
    <xf numFmtId="0" fontId="9" fillId="3" borderId="1" xfId="2" applyFont="1"/>
    <xf numFmtId="0" fontId="10" fillId="2" borderId="1" xfId="1" applyFont="1"/>
    <xf numFmtId="0" fontId="11" fillId="2" borderId="1" xfId="1" applyFont="1"/>
    <xf numFmtId="164" fontId="1" fillId="2" borderId="1" xfId="1" applyNumberFormat="1"/>
  </cellXfs>
  <cellStyles count="5">
    <cellStyle name="Bueno" xfId="3" builtinId="26"/>
    <cellStyle name="Cálculo" xfId="2" builtinId="22"/>
    <cellStyle name="Énfasis2" xfId="4" builtinId="33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18</xdr:row>
      <xdr:rowOff>7620</xdr:rowOff>
    </xdr:from>
    <xdr:to>
      <xdr:col>6</xdr:col>
      <xdr:colOff>601980</xdr:colOff>
      <xdr:row>24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7B7764-4791-495E-9B46-04EC9BAB84D8}"/>
            </a:ext>
          </a:extLst>
        </xdr:cNvPr>
        <xdr:cNvSpPr txBox="1"/>
      </xdr:nvSpPr>
      <xdr:spPr>
        <a:xfrm>
          <a:off x="601980" y="3299460"/>
          <a:ext cx="365760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Procedimiento</a:t>
          </a:r>
        </a:p>
        <a:p>
          <a:endParaRPr lang="en-US" sz="1100"/>
        </a:p>
        <a:p>
          <a:r>
            <a:rPr lang="en-US" sz="1100"/>
            <a:t>1.</a:t>
          </a:r>
          <a:r>
            <a:rPr lang="en-US" sz="1100" baseline="0"/>
            <a:t> Colocar todos los valores bases (D, v, y T de in/out).</a:t>
          </a:r>
        </a:p>
        <a:p>
          <a:r>
            <a:rPr lang="en-US" sz="1100" baseline="0"/>
            <a:t>2. Iterar Q del tubo anular cambiando Tout. </a:t>
          </a:r>
        </a:p>
        <a:p>
          <a:r>
            <a:rPr lang="en-US" sz="1100" baseline="0"/>
            <a:t>3. Leer valor de L.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E591-A1C2-49C2-AC36-0E348221AF6E}">
  <dimension ref="B2:U7"/>
  <sheetViews>
    <sheetView tabSelected="1" workbookViewId="0">
      <selection activeCell="H22" sqref="H22"/>
    </sheetView>
  </sheetViews>
  <sheetFormatPr defaultRowHeight="14.45"/>
  <cols>
    <col min="21" max="21" width="9.5703125" bestFit="1" customWidth="1"/>
  </cols>
  <sheetData>
    <row r="2" spans="2:21">
      <c r="B2" s="4" t="s">
        <v>0</v>
      </c>
      <c r="C2" s="4"/>
      <c r="E2" s="6" t="s">
        <v>1</v>
      </c>
      <c r="F2" s="6"/>
      <c r="G2" s="4" t="s">
        <v>2</v>
      </c>
      <c r="H2" s="4">
        <v>41.5</v>
      </c>
      <c r="I2" s="4" t="s">
        <v>3</v>
      </c>
      <c r="J2" s="4">
        <f>35.8</f>
        <v>35.799999999999997</v>
      </c>
      <c r="K2" s="4" t="s">
        <v>4</v>
      </c>
      <c r="L2" s="4">
        <f>ROUND(AVERAGE(H2,J2),1)</f>
        <v>38.700000000000003</v>
      </c>
      <c r="N2" s="4" t="s">
        <v>5</v>
      </c>
      <c r="O2" s="4"/>
      <c r="P2" s="4" t="s">
        <v>2</v>
      </c>
      <c r="Q2" s="4">
        <v>22.6</v>
      </c>
      <c r="R2" s="4" t="s">
        <v>3</v>
      </c>
      <c r="S2" s="4">
        <v>25.5</v>
      </c>
      <c r="T2" s="4" t="s">
        <v>4</v>
      </c>
      <c r="U2" s="14">
        <f>AVERAGE(Q2,S2)</f>
        <v>24.05</v>
      </c>
    </row>
    <row r="3" spans="2:21">
      <c r="B3" s="3" t="s">
        <v>6</v>
      </c>
      <c r="C3" s="3">
        <v>1.119E-2</v>
      </c>
      <c r="E3" s="3" t="s">
        <v>7</v>
      </c>
      <c r="F3" s="3">
        <f>AVERAGE(IFERROR(_xlfn.XLOOKUP(H$2,'PROPIEDADES DEL AGUA A 1atm'!$B5:$B355,'PROPIEDADES DEL AGUA A 1atm'!$D5:$D355),_xlfn.FORECAST.LINEAR($H$2,'PROPIEDADES DEL AGUA A 1atm'!$D5:$D355,'PROPIEDADES DEL AGUA A 1atm'!$B5:$B355)),IFERROR(_xlfn.XLOOKUP(J$2,'PROPIEDADES DEL AGUA A 1atm'!$B5:$B355,'PROPIEDADES DEL AGUA A 1atm'!$D5:$D355),_xlfn.FORECAST.LINEAR($J$2,'PROPIEDADES DEL AGUA A 1atm'!$D5:$D355,'PROPIEDADES DEL AGUA A 1atm'!$B5:$B355)))</f>
        <v>992.69499999999994</v>
      </c>
      <c r="N3" s="3" t="s">
        <v>7</v>
      </c>
      <c r="O3" s="3">
        <f>AVERAGE(IFERROR(_xlfn.XLOOKUP(Q$2,'PROPIEDADES DEL AGUA A 1atm'!$B5:$B355,'PROPIEDADES DEL AGUA A 1atm'!$D5:$D355),_xlfn.FORECAST.LINEAR($Q$2,'PROPIEDADES DEL AGUA A 1atm'!$D5:$D355,'PROPIEDADES DEL AGUA A 1atm'!$B5:$B355)),IFERROR(_xlfn.XLOOKUP(S$2,'PROPIEDADES DEL AGUA A 1atm'!$B5:$B355,'PROPIEDADES DEL AGUA A 1atm'!$D5:$D355),_xlfn.FORECAST.LINEAR($S$2,'PROPIEDADES DEL AGUA A 1atm'!$D5:$D355,'PROPIEDADES DEL AGUA A 1atm'!$B5:$B355)))</f>
        <v>997.28</v>
      </c>
    </row>
    <row r="4" spans="2:21">
      <c r="B4" s="9" t="s">
        <v>8</v>
      </c>
      <c r="C4" s="3">
        <v>8.0999999999999996E-4</v>
      </c>
      <c r="E4" s="3" t="s">
        <v>9</v>
      </c>
      <c r="F4" s="3">
        <v>0.4</v>
      </c>
      <c r="H4" s="7" t="s">
        <v>10</v>
      </c>
      <c r="I4" s="7">
        <f>F$4*C$6*F$3*F$7*1000*(H2-J2)</f>
        <v>930.28212070384905</v>
      </c>
      <c r="N4" s="3" t="s">
        <v>9</v>
      </c>
      <c r="O4" s="3">
        <v>1.5</v>
      </c>
      <c r="Q4" s="7" t="s">
        <v>10</v>
      </c>
      <c r="R4" s="7">
        <f>O3*O4*C7*O7*1000*(-Q2+S2)</f>
        <v>3091.8558654409658</v>
      </c>
    </row>
    <row r="5" spans="2:21">
      <c r="B5" s="3" t="s">
        <v>11</v>
      </c>
      <c r="C5" s="3">
        <v>1.9E-2</v>
      </c>
      <c r="E5" s="3" t="s">
        <v>12</v>
      </c>
      <c r="F5" s="3">
        <f>C3</f>
        <v>1.119E-2</v>
      </c>
      <c r="N5" s="3" t="s">
        <v>13</v>
      </c>
      <c r="O5" s="3">
        <f>4*C7/((C3+C4)*PI())</f>
        <v>1.8083333333333333E-2</v>
      </c>
    </row>
    <row r="6" spans="2:21">
      <c r="B6" s="10" t="s">
        <v>14</v>
      </c>
      <c r="C6" s="3">
        <f>POWER(C3/2,2)*PI()</f>
        <v>9.834449496779122E-5</v>
      </c>
      <c r="E6" s="5" t="s">
        <v>15</v>
      </c>
      <c r="F6" s="3">
        <f>AVERAGE(IFERROR(_xlfn.XLOOKUP(H$2,'PROPIEDADES DEL AGUA A 1atm'!$B5:$B355,'PROPIEDADES DEL AGUA A 1atm'!$M5:$M355),_xlfn.FORECAST.LINEAR($H$2,'PROPIEDADES DEL AGUA A 1atm'!$M5:$M355,'PROPIEDADES DEL AGUA A 1atm'!$B5:$B355)),IFERROR(_xlfn.XLOOKUP(J$2,'PROPIEDADES DEL AGUA A 1atm'!$B5:$B355,'PROPIEDADES DEL AGUA A 1atm'!$M5:$M355),_xlfn.FORECAST.LINEAR($J$2,'PROPIEDADES DEL AGUA A 1atm'!$M5:$M355,'PROPIEDADES DEL AGUA A 1atm'!$B5:$B355)))</f>
        <v>6.7125999999999991E-4</v>
      </c>
      <c r="N6" s="5" t="s">
        <v>15</v>
      </c>
      <c r="O6" s="3">
        <f>AVERAGE(IFERROR(_xlfn.XLOOKUP(Q$2,'PROPIEDADES DEL AGUA A 1atm'!$B5:$B355,'PROPIEDADES DEL AGUA A 1atm'!$M5:$M355),_xlfn.FORECAST.LINEAR($Q$2,'PROPIEDADES DEL AGUA A 1atm'!$M5:$M355,'PROPIEDADES DEL AGUA A 1atm'!$B5:$B355)),IFERROR(_xlfn.XLOOKUP(S$2,'PROPIEDADES DEL AGUA A 1atm'!$B5:$B355,'PROPIEDADES DEL AGUA A 1atm'!$M5:$M355),_xlfn.FORECAST.LINEAR($S$2,'PROPIEDADES DEL AGUA A 1atm'!$M5:$M355,'PROPIEDADES DEL AGUA A 1atm'!$B5:$B355)))</f>
        <v>9.1044999999999993E-4</v>
      </c>
    </row>
    <row r="7" spans="2:21">
      <c r="B7" s="10" t="s">
        <v>16</v>
      </c>
      <c r="C7" s="3">
        <f>POWER(C5/2,2)*PI()-POWER(((C3+C4))/2,2)*PI()</f>
        <v>1.7043140145724627E-4</v>
      </c>
      <c r="E7" s="10" t="s">
        <v>17</v>
      </c>
      <c r="F7" s="3">
        <f>AVERAGE(IFERROR(_xlfn.XLOOKUP(H$2,'PROPIEDADES DEL AGUA A 1atm'!$B5:$B355,'PROPIEDADES DEL AGUA A 1atm'!$J5:$J355),_xlfn.FORECAST.LINEAR($H$2,'PROPIEDADES DEL AGUA A 1atm'!$J5:$J355,'PROPIEDADES DEL AGUA A 1atm'!$B5:$B355)),IFERROR(_xlfn.XLOOKUP(J$2,'PROPIEDADES DEL AGUA A 1atm'!$B5:$B355,'PROPIEDADES DEL AGUA A 1atm'!$J5:$J355),_xlfn.FORECAST.LINEAR($J$2,'PROPIEDADES DEL AGUA A 1atm'!$J5:$J355,'PROPIEDADES DEL AGUA A 1atm'!$B5:$B355)))</f>
        <v>4.1793999999999993</v>
      </c>
      <c r="N7" s="10" t="s">
        <v>17</v>
      </c>
      <c r="O7" s="3">
        <f>AVERAGE(IFERROR(_xlfn.XLOOKUP(Q$2,'PROPIEDADES DEL AGUA A 1atm'!$B5:$B355,'PROPIEDADES DEL AGUA A 1atm'!$J5:$J355),_xlfn.FORECAST.LINEAR($Q$2,'PROPIEDADES DEL AGUA A 1atm'!$J5:$J355,'PROPIEDADES DEL AGUA A 1atm'!$B5:$B355)),IFERROR(_xlfn.XLOOKUP(S$2,'PROPIEDADES DEL AGUA A 1atm'!$B5:$B355,'PROPIEDADES DEL AGUA A 1atm'!$J5:$J355),_xlfn.FORECAST.LINEAR($S$2,'PROPIEDADES DEL AGUA A 1atm'!$J5:$J355,'PROPIEDADES DEL AGUA A 1atm'!$B5:$B355)))</f>
        <v>4.1818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090E-A3EA-4114-B168-D795576F33F7}">
  <dimension ref="B2:U17"/>
  <sheetViews>
    <sheetView zoomScaleNormal="100" workbookViewId="0">
      <selection activeCell="J20" sqref="J20"/>
    </sheetView>
  </sheetViews>
  <sheetFormatPr defaultRowHeight="14.45"/>
  <cols>
    <col min="8" max="8" width="10" customWidth="1"/>
    <col min="9" max="10" width="12" bestFit="1" customWidth="1"/>
    <col min="17" max="17" width="11.5703125" customWidth="1"/>
    <col min="18" max="18" width="12" bestFit="1" customWidth="1"/>
    <col min="21" max="21" width="9.5703125" bestFit="1" customWidth="1"/>
  </cols>
  <sheetData>
    <row r="2" spans="2:21">
      <c r="B2" s="4" t="s">
        <v>0</v>
      </c>
      <c r="C2" s="4"/>
      <c r="E2" s="6" t="s">
        <v>1</v>
      </c>
      <c r="F2" s="6"/>
      <c r="G2" s="4" t="s">
        <v>2</v>
      </c>
      <c r="H2" s="4">
        <v>40</v>
      </c>
      <c r="I2" s="4" t="s">
        <v>3</v>
      </c>
      <c r="J2" s="4">
        <f>H2-5</f>
        <v>35</v>
      </c>
      <c r="K2" s="4" t="s">
        <v>4</v>
      </c>
      <c r="L2" s="4">
        <f>ROUND(AVERAGE(H2,J2),1)</f>
        <v>37.5</v>
      </c>
      <c r="N2" s="4" t="s">
        <v>18</v>
      </c>
      <c r="O2" s="4"/>
      <c r="P2" s="4" t="s">
        <v>2</v>
      </c>
      <c r="Q2" s="4">
        <v>24</v>
      </c>
      <c r="R2" s="4" t="s">
        <v>3</v>
      </c>
      <c r="S2" s="4">
        <v>24.765796854248094</v>
      </c>
      <c r="T2" s="4" t="s">
        <v>4</v>
      </c>
      <c r="U2" s="14">
        <f>AVERAGE(Q2,S2)</f>
        <v>24.382898427124047</v>
      </c>
    </row>
    <row r="3" spans="2:21">
      <c r="B3" s="3" t="s">
        <v>6</v>
      </c>
      <c r="C3" s="3">
        <v>1.119E-2</v>
      </c>
      <c r="E3" s="3" t="s">
        <v>7</v>
      </c>
      <c r="F3" s="3">
        <f>AVERAGE(IFERROR(_xlfn.XLOOKUP(H$2,'PROPIEDADES DEL AGUA A 1atm'!$B5:$B355,'PROPIEDADES DEL AGUA A 1atm'!$D5:$D355),_xlfn.FORECAST.LINEAR($H$2,'PROPIEDADES DEL AGUA A 1atm'!$D5:$D355,'PROPIEDADES DEL AGUA A 1atm'!$B5:$B355)),IFERROR(_xlfn.XLOOKUP(J$2,'PROPIEDADES DEL AGUA A 1atm'!$B5:$B355,'PROPIEDADES DEL AGUA A 1atm'!$D5:$D355),_xlfn.FORECAST.LINEAR($J$2,'PROPIEDADES DEL AGUA A 1atm'!$D5:$D355,'PROPIEDADES DEL AGUA A 1atm'!$B5:$B355)))</f>
        <v>993.125</v>
      </c>
      <c r="N3" s="3" t="s">
        <v>7</v>
      </c>
      <c r="O3" s="3">
        <f>AVERAGE(IFERROR(_xlfn.XLOOKUP(Q$2,'PROPIEDADES DEL AGUA A 1atm'!$B5:$B355,'PROPIEDADES DEL AGUA A 1atm'!$D5:$D355),_xlfn.FORECAST.LINEAR($Q$2,'PROPIEDADES DEL AGUA A 1atm'!$D5:$D355,'PROPIEDADES DEL AGUA A 1atm'!$B5:$B355)),IFERROR(_xlfn.XLOOKUP(S$2,'PROPIEDADES DEL AGUA A 1atm'!$B5:$B355,'PROPIEDADES DEL AGUA A 1atm'!$D5:$D355),_xlfn.FORECAST.LINEAR($S$2,'PROPIEDADES DEL AGUA A 1atm'!$D5:$D355,'PROPIEDADES DEL AGUA A 1atm'!$B5:$B355)))</f>
        <v>997.10149820150627</v>
      </c>
    </row>
    <row r="4" spans="2:21">
      <c r="B4" s="9" t="s">
        <v>8</v>
      </c>
      <c r="C4" s="3">
        <v>8.0999999999999996E-4</v>
      </c>
      <c r="E4" s="3" t="s">
        <v>9</v>
      </c>
      <c r="F4" s="3">
        <v>0.4</v>
      </c>
      <c r="H4" s="7" t="s">
        <v>10</v>
      </c>
      <c r="I4" s="7">
        <f>F$4*C$6*F$3*F$7*1000*(H2-J2)</f>
        <v>816.38065919292649</v>
      </c>
      <c r="K4" s="4" t="s">
        <v>19</v>
      </c>
      <c r="L4" s="4">
        <f>(F3*F11*C11*(F4)^(2))/(2*F5)</f>
        <v>330.8513862185165</v>
      </c>
      <c r="N4" s="3" t="s">
        <v>9</v>
      </c>
      <c r="O4" s="3">
        <v>1.5</v>
      </c>
      <c r="Q4" s="7" t="s">
        <v>10</v>
      </c>
      <c r="R4" s="7">
        <f>O3*O4*C7*O7*1000*(-Q2+S2)</f>
        <v>816.38000000556883</v>
      </c>
      <c r="T4" s="4" t="s">
        <v>19</v>
      </c>
      <c r="U4" s="4">
        <f>(O3*O11*C11*(O4)^(2))/(2*(C5-C3-C4))</f>
        <v>4958.5656374359969</v>
      </c>
    </row>
    <row r="5" spans="2:21">
      <c r="B5" s="3" t="s">
        <v>11</v>
      </c>
      <c r="C5" s="3">
        <v>1.9E-2</v>
      </c>
      <c r="E5" s="3" t="s">
        <v>12</v>
      </c>
      <c r="F5" s="3">
        <f>C3</f>
        <v>1.119E-2</v>
      </c>
      <c r="N5" s="3" t="s">
        <v>13</v>
      </c>
      <c r="O5" s="3">
        <f>4*C7/((C3+C4)*PI())</f>
        <v>1.8083333333333333E-2</v>
      </c>
    </row>
    <row r="6" spans="2:21">
      <c r="B6" s="10" t="s">
        <v>14</v>
      </c>
      <c r="C6" s="3">
        <f>POWER(C3/2,2)*PI()</f>
        <v>9.834449496779122E-5</v>
      </c>
      <c r="E6" s="5" t="s">
        <v>15</v>
      </c>
      <c r="F6" s="3">
        <f>AVERAGE(IFERROR(_xlfn.XLOOKUP(H$2,'PROPIEDADES DEL AGUA A 1atm'!$B5:$B355,'PROPIEDADES DEL AGUA A 1atm'!$M5:$M355),_xlfn.FORECAST.LINEAR($H$2,'PROPIEDADES DEL AGUA A 1atm'!$M5:$M355,'PROPIEDADES DEL AGUA A 1atm'!$B5:$B355)),IFERROR(_xlfn.XLOOKUP(J$2,'PROPIEDADES DEL AGUA A 1atm'!$B5:$B355,'PROPIEDADES DEL AGUA A 1atm'!$M5:$M355),_xlfn.FORECAST.LINEAR($J$2,'PROPIEDADES DEL AGUA A 1atm'!$M5:$M355,'PROPIEDADES DEL AGUA A 1atm'!$B5:$B355)))</f>
        <v>6.8592999999999996E-4</v>
      </c>
      <c r="H6" s="4" t="s">
        <v>20</v>
      </c>
      <c r="I6" s="4" t="s">
        <v>21</v>
      </c>
      <c r="N6" s="5" t="s">
        <v>15</v>
      </c>
      <c r="O6" s="3">
        <f>AVERAGE(IFERROR(_xlfn.XLOOKUP(Q$2,'PROPIEDADES DEL AGUA A 1atm'!$B5:$B355,'PROPIEDADES DEL AGUA A 1atm'!$M5:$M355),_xlfn.FORECAST.LINEAR($Q$2,'PROPIEDADES DEL AGUA A 1atm'!$M5:$M355,'PROPIEDADES DEL AGUA A 1atm'!$B5:$B355)),IFERROR(_xlfn.XLOOKUP(S$2,'PROPIEDADES DEL AGUA A 1atm'!$B5:$B355,'PROPIEDADES DEL AGUA A 1atm'!$M5:$M355),_xlfn.FORECAST.LINEAR($S$2,'PROPIEDADES DEL AGUA A 1atm'!$M5:$M355,'PROPIEDADES DEL AGUA A 1atm'!$B5:$B355)))</f>
        <v>9.1081746523796248E-4</v>
      </c>
    </row>
    <row r="7" spans="2:21">
      <c r="B7" s="10" t="s">
        <v>16</v>
      </c>
      <c r="C7" s="3">
        <f>POWER(C5/2,2)*PI()-POWER(((C3+C4))/2,2)*PI()</f>
        <v>1.7043140145724627E-4</v>
      </c>
      <c r="E7" s="10" t="s">
        <v>17</v>
      </c>
      <c r="F7" s="3">
        <f>AVERAGE(IFERROR(_xlfn.XLOOKUP(H$2,'PROPIEDADES DEL AGUA A 1atm'!$B5:$B355,'PROPIEDADES DEL AGUA A 1atm'!$J5:$J355),_xlfn.FORECAST.LINEAR($H$2,'PROPIEDADES DEL AGUA A 1atm'!$J5:$J355,'PROPIEDADES DEL AGUA A 1atm'!$B5:$B355)),IFERROR(_xlfn.XLOOKUP(J$2,'PROPIEDADES DEL AGUA A 1atm'!$B5:$B355,'PROPIEDADES DEL AGUA A 1atm'!$J5:$J355),_xlfn.FORECAST.LINEAR($J$2,'PROPIEDADES DEL AGUA A 1atm'!$J5:$J355,'PROPIEDADES DEL AGUA A 1atm'!$B5:$B355)))</f>
        <v>4.1793499999999995</v>
      </c>
      <c r="H7" s="9" t="s">
        <v>22</v>
      </c>
      <c r="I7" s="3">
        <v>400</v>
      </c>
      <c r="N7" s="10" t="s">
        <v>17</v>
      </c>
      <c r="O7" s="3">
        <f>AVERAGE(IFERROR(_xlfn.XLOOKUP(Q$2,'PROPIEDADES DEL AGUA A 1atm'!$B5:$B355,'PROPIEDADES DEL AGUA A 1atm'!$J5:$J355),_xlfn.FORECAST.LINEAR($Q$2,'PROPIEDADES DEL AGUA A 1atm'!$J5:$J355,'PROPIEDADES DEL AGUA A 1atm'!$B5:$B355)),IFERROR(_xlfn.XLOOKUP(S$2,'PROPIEDADES DEL AGUA A 1atm'!$B5:$B355,'PROPIEDADES DEL AGUA A 1atm'!$J5:$J355),_xlfn.FORECAST.LINEAR($S$2,'PROPIEDADES DEL AGUA A 1atm'!$J5:$J355,'PROPIEDADES DEL AGUA A 1atm'!$B5:$B355)))</f>
        <v>4.1821396970159705</v>
      </c>
    </row>
    <row r="8" spans="2:21">
      <c r="E8" s="9" t="s">
        <v>22</v>
      </c>
      <c r="F8" s="3">
        <f>AVERAGE(IFERROR(_xlfn.XLOOKUP(H$2,'PROPIEDADES DEL AGUA A 1atm'!$B5:$B355,'PROPIEDADES DEL AGUA A 1atm'!$N5:$N355),_xlfn.FORECAST.LINEAR($H$2,'PROPIEDADES DEL AGUA A 1atm'!$N5:$N355,'PROPIEDADES DEL AGUA A 1atm'!$B5:$B355)),IFERROR(_xlfn.XLOOKUP(J$2,'PROPIEDADES DEL AGUA A 1atm'!$B5:$B355,'PROPIEDADES DEL AGUA A 1atm'!$N5:$N355),_xlfn.FORECAST.LINEAR($J$2,'PROPIEDADES DEL AGUA A 1atm'!$N5:$N355,'PROPIEDADES DEL AGUA A 1atm'!$B5:$B355)))</f>
        <v>0.62509499999999996</v>
      </c>
      <c r="N8" s="9" t="s">
        <v>22</v>
      </c>
      <c r="O8" s="3">
        <f>AVERAGE(IFERROR(_xlfn.XLOOKUP(Q$2,'PROPIEDADES DEL AGUA A 1atm'!$B5:$B355,'PROPIEDADES DEL AGUA A 1atm'!$N5:$N355),_xlfn.FORECAST.LINEAR($Q$2,'PROPIEDADES DEL AGUA A 1atm'!$N5:$N355,'PROPIEDADES DEL AGUA A 1atm'!$B5:$B355)),IFERROR(_xlfn.XLOOKUP(S$2,'PROPIEDADES DEL AGUA A 1atm'!$B5:$B355,'PROPIEDADES DEL AGUA A 1atm'!$N5:$N355),_xlfn.FORECAST.LINEAR($S$2,'PROPIEDADES DEL AGUA A 1atm'!$N5:$N355,'PROPIEDADES DEL AGUA A 1atm'!$B5:$B355)))</f>
        <v>0.60523193116393625</v>
      </c>
    </row>
    <row r="9" spans="2:21">
      <c r="B9" s="13" t="s">
        <v>23</v>
      </c>
      <c r="C9" s="4">
        <v>1E-4</v>
      </c>
      <c r="E9" s="3" t="s">
        <v>24</v>
      </c>
      <c r="F9" s="3">
        <f>(F6*F7)*1000/F8</f>
        <v>4.5860893872131427</v>
      </c>
      <c r="H9" s="13" t="s">
        <v>25</v>
      </c>
      <c r="I9" s="4">
        <f>1/(PI()*C3*F13)</f>
        <v>1.1323011375913494E-2</v>
      </c>
      <c r="N9" s="3" t="s">
        <v>24</v>
      </c>
      <c r="O9" s="3">
        <f>O6*O7*1000/O8</f>
        <v>6.2937292002780607</v>
      </c>
      <c r="Q9" s="13" t="s">
        <v>25</v>
      </c>
      <c r="R9" s="4">
        <f>1/((C3+C4)*PI()*O13)</f>
        <v>3.9481915109175298E-3</v>
      </c>
    </row>
    <row r="10" spans="2:21">
      <c r="E10" s="3" t="s">
        <v>26</v>
      </c>
      <c r="F10" s="3">
        <f>F5*F3*F4/F6</f>
        <v>6480.5847535462817</v>
      </c>
      <c r="N10" s="3" t="s">
        <v>26</v>
      </c>
      <c r="O10" s="3">
        <f>O3*O4*O5/O6</f>
        <v>29694.619581816707</v>
      </c>
    </row>
    <row r="11" spans="2:21">
      <c r="B11" s="8" t="s">
        <v>27</v>
      </c>
      <c r="C11" s="8">
        <f>I4/(F17*F16)</f>
        <v>1.3057284639461209</v>
      </c>
      <c r="E11" s="3" t="s">
        <v>28</v>
      </c>
      <c r="F11" s="3">
        <f>1 / (0.79 * LN(F$10) - 1.64)^2</f>
        <v>3.5687512037053157E-2</v>
      </c>
      <c r="H11" s="13" t="s">
        <v>29</v>
      </c>
      <c r="I11" s="4">
        <f>LN(((C4+C3)/C3))/(2*PI()*I7)</f>
        <v>2.7806806598680904E-5</v>
      </c>
      <c r="N11" s="3" t="s">
        <v>28</v>
      </c>
      <c r="O11" s="3">
        <f>1 / (0.79 * LN(O$10) - 1.64)^2</f>
        <v>2.3697871688801664E-2</v>
      </c>
      <c r="Q11" s="12" t="s">
        <v>30</v>
      </c>
      <c r="R11" s="4">
        <f>C9/((C3+C4)*PI())</f>
        <v>2.6525823848649226E-3</v>
      </c>
    </row>
    <row r="12" spans="2:21">
      <c r="E12" s="3" t="s">
        <v>31</v>
      </c>
      <c r="F12" s="3">
        <f>((F$11/8)*(F$10-1000)*F$9)/(1+12.7*SQRT(F$11/8)*(F$9^(2/3)-1))</f>
        <v>44.971995504477349</v>
      </c>
      <c r="N12" s="3" t="s">
        <v>31</v>
      </c>
      <c r="O12" s="3">
        <f>((O$11/8)*(O$10-1000)*O$9)/(1+12.7*SQRT(O$11/8)*(O$9^(2/3)-1))</f>
        <v>200.7369522072274</v>
      </c>
    </row>
    <row r="13" spans="2:21">
      <c r="E13" s="11" t="s">
        <v>32</v>
      </c>
      <c r="F13" s="3">
        <f>(F$12*F$8)/F$5</f>
        <v>2512.2224780939468</v>
      </c>
      <c r="H13" s="12" t="s">
        <v>30</v>
      </c>
      <c r="I13" s="4">
        <f>C9/(PI()*C3)</f>
        <v>2.844592369828335E-3</v>
      </c>
      <c r="N13" s="11" t="s">
        <v>33</v>
      </c>
      <c r="O13" s="3">
        <f>(O12*O8)/O5</f>
        <v>6718.4744649037611</v>
      </c>
    </row>
    <row r="15" spans="2:21">
      <c r="E15" s="11" t="s">
        <v>34</v>
      </c>
      <c r="F15" s="3">
        <f>1/(1/F13+1/O13+2*C9+C4/I7)</f>
        <v>1335.2521240500935</v>
      </c>
    </row>
    <row r="16" spans="2:21">
      <c r="E16" s="11" t="s">
        <v>35</v>
      </c>
      <c r="F16" s="3">
        <f>1/(SUM(I9,I11,I13,R9,R11))</f>
        <v>48.085743925504509</v>
      </c>
    </row>
    <row r="17" spans="5:6">
      <c r="E17" s="10" t="s">
        <v>36</v>
      </c>
      <c r="F17" s="3">
        <f>((H2-S2)-(J2-Q2))/LN((H2-S2)/(J2-Q2))</f>
        <v>13.002399225599532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645B-09CF-44D5-9DE9-A73DDCCB8CDF}">
  <dimension ref="B2:O355"/>
  <sheetViews>
    <sheetView topLeftCell="A233" workbookViewId="0">
      <selection activeCell="D100" sqref="D100"/>
    </sheetView>
  </sheetViews>
  <sheetFormatPr defaultRowHeight="14.45"/>
  <sheetData>
    <row r="2" spans="2:15">
      <c r="B2" t="s">
        <v>37</v>
      </c>
    </row>
    <row r="4" spans="2:15" ht="41.45"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</row>
    <row r="5" spans="2:15">
      <c r="B5" s="1">
        <v>15</v>
      </c>
      <c r="C5" s="1">
        <v>0.10131999999999999</v>
      </c>
      <c r="D5" s="1">
        <v>999.1</v>
      </c>
      <c r="E5" s="1">
        <v>1.0009000000000001E-3</v>
      </c>
      <c r="F5" s="1">
        <v>62.975000000000001</v>
      </c>
      <c r="G5" s="1">
        <v>63.076999999999998</v>
      </c>
      <c r="H5" s="1">
        <v>0.22445000000000001</v>
      </c>
      <c r="I5" s="1">
        <v>4.1744000000000003</v>
      </c>
      <c r="J5" s="1">
        <v>4.1885000000000003</v>
      </c>
      <c r="K5" s="1">
        <v>1465.9</v>
      </c>
      <c r="L5" s="1">
        <v>-0.22858000000000001</v>
      </c>
      <c r="M5" s="1">
        <v>1.1375999999999999E-3</v>
      </c>
      <c r="N5" s="1">
        <v>0.58879999999999999</v>
      </c>
      <c r="O5" s="1" t="s">
        <v>52</v>
      </c>
    </row>
    <row r="6" spans="2:15">
      <c r="B6" s="1">
        <v>15.1</v>
      </c>
      <c r="C6" s="1">
        <v>0.10131999999999999</v>
      </c>
      <c r="D6" s="1">
        <v>999.09</v>
      </c>
      <c r="E6" s="1">
        <v>1.0009000000000001E-3</v>
      </c>
      <c r="F6" s="1">
        <v>63.393999999999998</v>
      </c>
      <c r="G6" s="1">
        <v>63.496000000000002</v>
      </c>
      <c r="H6" s="1">
        <v>0.22589999999999999</v>
      </c>
      <c r="I6" s="1">
        <v>4.1741000000000001</v>
      </c>
      <c r="J6" s="1">
        <v>4.1883999999999997</v>
      </c>
      <c r="K6" s="1">
        <v>1466.3</v>
      </c>
      <c r="L6" s="1">
        <v>-0.22850000000000001</v>
      </c>
      <c r="M6" s="1">
        <v>1.1345999999999999E-3</v>
      </c>
      <c r="N6" s="1">
        <v>0.58899000000000001</v>
      </c>
      <c r="O6" s="1" t="s">
        <v>52</v>
      </c>
    </row>
    <row r="7" spans="2:15">
      <c r="B7" s="1">
        <v>15.2</v>
      </c>
      <c r="C7" s="1">
        <v>0.10131999999999999</v>
      </c>
      <c r="D7" s="1">
        <v>999.07</v>
      </c>
      <c r="E7" s="1">
        <v>1.0009000000000001E-3</v>
      </c>
      <c r="F7" s="1">
        <v>63.813000000000002</v>
      </c>
      <c r="G7" s="1">
        <v>63.914999999999999</v>
      </c>
      <c r="H7" s="1">
        <v>0.22735</v>
      </c>
      <c r="I7" s="1">
        <v>4.1737000000000002</v>
      </c>
      <c r="J7" s="1">
        <v>4.1882000000000001</v>
      </c>
      <c r="K7" s="1">
        <v>1466.6</v>
      </c>
      <c r="L7" s="1">
        <v>-0.22842999999999999</v>
      </c>
      <c r="M7" s="1">
        <v>1.1316E-3</v>
      </c>
      <c r="N7" s="1">
        <v>0.58918000000000004</v>
      </c>
      <c r="O7" s="1" t="s">
        <v>52</v>
      </c>
    </row>
    <row r="8" spans="2:15">
      <c r="B8" s="1">
        <v>15.3</v>
      </c>
      <c r="C8" s="1">
        <v>0.10131999999999999</v>
      </c>
      <c r="D8" s="1">
        <v>999.06</v>
      </c>
      <c r="E8" s="1">
        <v>1.0009000000000001E-3</v>
      </c>
      <c r="F8" s="1">
        <v>64.231999999999999</v>
      </c>
      <c r="G8" s="1">
        <v>64.332999999999998</v>
      </c>
      <c r="H8" s="1">
        <v>0.22881000000000001</v>
      </c>
      <c r="I8" s="1">
        <v>4.1734</v>
      </c>
      <c r="J8" s="1">
        <v>4.1881000000000004</v>
      </c>
      <c r="K8" s="1">
        <v>1467</v>
      </c>
      <c r="L8" s="1">
        <v>-0.22835</v>
      </c>
      <c r="M8" s="1">
        <v>1.1286E-3</v>
      </c>
      <c r="N8" s="1">
        <v>0.58938000000000001</v>
      </c>
      <c r="O8" s="1" t="s">
        <v>52</v>
      </c>
    </row>
    <row r="9" spans="2:15">
      <c r="B9" s="1">
        <v>15.4</v>
      </c>
      <c r="C9" s="1">
        <v>0.10131999999999999</v>
      </c>
      <c r="D9" s="1">
        <v>999.04</v>
      </c>
      <c r="E9" s="1">
        <v>1.0009999999999999E-3</v>
      </c>
      <c r="F9" s="1">
        <v>64.650999999999996</v>
      </c>
      <c r="G9" s="1">
        <v>64.751999999999995</v>
      </c>
      <c r="H9" s="1">
        <v>0.23025999999999999</v>
      </c>
      <c r="I9" s="1">
        <v>4.1730999999999998</v>
      </c>
      <c r="J9" s="1">
        <v>4.1879999999999997</v>
      </c>
      <c r="K9" s="1">
        <v>1467.3</v>
      </c>
      <c r="L9" s="1">
        <v>-0.22828000000000001</v>
      </c>
      <c r="M9" s="1">
        <v>1.1256E-3</v>
      </c>
      <c r="N9" s="1">
        <v>0.58957000000000004</v>
      </c>
      <c r="O9" s="1" t="s">
        <v>52</v>
      </c>
    </row>
    <row r="10" spans="2:15">
      <c r="B10" s="1">
        <v>15.5</v>
      </c>
      <c r="C10" s="1">
        <v>0.10131999999999999</v>
      </c>
      <c r="D10" s="1">
        <v>999.03</v>
      </c>
      <c r="E10" s="1">
        <v>1.0009999999999999E-3</v>
      </c>
      <c r="F10" s="1">
        <v>65.069999999999993</v>
      </c>
      <c r="G10" s="1">
        <v>65.171000000000006</v>
      </c>
      <c r="H10" s="1">
        <v>0.23171</v>
      </c>
      <c r="I10" s="1">
        <v>4.1726999999999999</v>
      </c>
      <c r="J10" s="1">
        <v>4.1879</v>
      </c>
      <c r="K10" s="1">
        <v>1467.7</v>
      </c>
      <c r="L10" s="1">
        <v>-0.22819999999999999</v>
      </c>
      <c r="M10" s="1">
        <v>1.1226999999999999E-3</v>
      </c>
      <c r="N10" s="1">
        <v>0.58975999999999995</v>
      </c>
      <c r="O10" s="1" t="s">
        <v>52</v>
      </c>
    </row>
    <row r="11" spans="2:15">
      <c r="B11" s="1">
        <v>15.6</v>
      </c>
      <c r="C11" s="1">
        <v>0.10131999999999999</v>
      </c>
      <c r="D11" s="1">
        <v>999.01</v>
      </c>
      <c r="E11" s="1">
        <v>1.0009999999999999E-3</v>
      </c>
      <c r="F11" s="1">
        <v>65.488</v>
      </c>
      <c r="G11" s="1">
        <v>65.59</v>
      </c>
      <c r="H11" s="1">
        <v>0.23316000000000001</v>
      </c>
      <c r="I11" s="1">
        <v>4.1723999999999997</v>
      </c>
      <c r="J11" s="1">
        <v>4.1878000000000002</v>
      </c>
      <c r="K11" s="1">
        <v>1468</v>
      </c>
      <c r="L11" s="1">
        <v>-0.22813</v>
      </c>
      <c r="M11" s="1">
        <v>1.1196999999999999E-3</v>
      </c>
      <c r="N11" s="1">
        <v>0.58994999999999997</v>
      </c>
      <c r="O11" s="1" t="s">
        <v>52</v>
      </c>
    </row>
    <row r="12" spans="2:15">
      <c r="B12" s="1">
        <v>15.7</v>
      </c>
      <c r="C12" s="1">
        <v>0.10131999999999999</v>
      </c>
      <c r="D12" s="1">
        <v>998.99</v>
      </c>
      <c r="E12" s="1">
        <v>1.0009999999999999E-3</v>
      </c>
      <c r="F12" s="1">
        <v>65.906999999999996</v>
      </c>
      <c r="G12" s="1">
        <v>66.007999999999996</v>
      </c>
      <c r="H12" s="1">
        <v>0.23461000000000001</v>
      </c>
      <c r="I12" s="1">
        <v>4.1719999999999997</v>
      </c>
      <c r="J12" s="1">
        <v>4.1877000000000004</v>
      </c>
      <c r="K12" s="1">
        <v>1468.4</v>
      </c>
      <c r="L12" s="1">
        <v>-0.22805</v>
      </c>
      <c r="M12" s="1">
        <v>1.1168E-3</v>
      </c>
      <c r="N12" s="1">
        <v>0.59014</v>
      </c>
      <c r="O12" s="1" t="s">
        <v>52</v>
      </c>
    </row>
    <row r="13" spans="2:15">
      <c r="B13" s="1">
        <v>15.8</v>
      </c>
      <c r="C13" s="1">
        <v>0.10131999999999999</v>
      </c>
      <c r="D13" s="1">
        <v>998.98</v>
      </c>
      <c r="E13" s="1">
        <v>1.0009999999999999E-3</v>
      </c>
      <c r="F13" s="1">
        <v>66.325999999999993</v>
      </c>
      <c r="G13" s="1">
        <v>66.427000000000007</v>
      </c>
      <c r="H13" s="1">
        <v>0.23605999999999999</v>
      </c>
      <c r="I13" s="1">
        <v>4.1717000000000004</v>
      </c>
      <c r="J13" s="1">
        <v>4.1875999999999998</v>
      </c>
      <c r="K13" s="1">
        <v>1468.7</v>
      </c>
      <c r="L13" s="1">
        <v>-0.22797999999999999</v>
      </c>
      <c r="M13" s="1">
        <v>1.1138999999999999E-3</v>
      </c>
      <c r="N13" s="1">
        <v>0.59033000000000002</v>
      </c>
      <c r="O13" s="1" t="s">
        <v>52</v>
      </c>
    </row>
    <row r="14" spans="2:15">
      <c r="B14" s="1">
        <v>15.9</v>
      </c>
      <c r="C14" s="1">
        <v>0.10131999999999999</v>
      </c>
      <c r="D14" s="1">
        <v>998.96</v>
      </c>
      <c r="E14" s="1">
        <v>1.0009999999999999E-3</v>
      </c>
      <c r="F14" s="1">
        <v>66.745000000000005</v>
      </c>
      <c r="G14" s="1">
        <v>66.846000000000004</v>
      </c>
      <c r="H14" s="1">
        <v>0.23751</v>
      </c>
      <c r="I14" s="1">
        <v>4.1712999999999996</v>
      </c>
      <c r="J14" s="1">
        <v>4.1875</v>
      </c>
      <c r="K14" s="1">
        <v>1469</v>
      </c>
      <c r="L14" s="1">
        <v>-0.22789999999999999</v>
      </c>
      <c r="M14" s="1">
        <v>1.111E-3</v>
      </c>
      <c r="N14" s="1">
        <v>0.59052000000000004</v>
      </c>
      <c r="O14" s="1" t="s">
        <v>52</v>
      </c>
    </row>
    <row r="15" spans="2:15">
      <c r="B15" s="1">
        <v>16</v>
      </c>
      <c r="C15" s="1">
        <v>0.10131999999999999</v>
      </c>
      <c r="D15" s="1">
        <v>998.95</v>
      </c>
      <c r="E15" s="1">
        <v>1.0011E-3</v>
      </c>
      <c r="F15" s="1">
        <v>67.162999999999997</v>
      </c>
      <c r="G15" s="1">
        <v>67.265000000000001</v>
      </c>
      <c r="H15" s="1">
        <v>0.23896000000000001</v>
      </c>
      <c r="I15" s="1">
        <v>4.1710000000000003</v>
      </c>
      <c r="J15" s="1">
        <v>4.1874000000000002</v>
      </c>
      <c r="K15" s="1">
        <v>1469.4</v>
      </c>
      <c r="L15" s="1">
        <v>-0.22783</v>
      </c>
      <c r="M15" s="1">
        <v>1.1081000000000001E-3</v>
      </c>
      <c r="N15" s="1">
        <v>0.59070999999999996</v>
      </c>
      <c r="O15" s="1" t="s">
        <v>52</v>
      </c>
    </row>
    <row r="16" spans="2:15">
      <c r="B16" s="1">
        <v>16.100000000000001</v>
      </c>
      <c r="C16" s="1">
        <v>0.10131999999999999</v>
      </c>
      <c r="D16" s="1">
        <v>998.93</v>
      </c>
      <c r="E16" s="1">
        <v>1.0011E-3</v>
      </c>
      <c r="F16" s="1">
        <v>67.581999999999994</v>
      </c>
      <c r="G16" s="1">
        <v>67.683000000000007</v>
      </c>
      <c r="H16" s="1">
        <v>0.2404</v>
      </c>
      <c r="I16" s="1">
        <v>4.1706000000000003</v>
      </c>
      <c r="J16" s="1">
        <v>4.1872999999999996</v>
      </c>
      <c r="K16" s="1">
        <v>1469.7</v>
      </c>
      <c r="L16" s="1">
        <v>-0.22775000000000001</v>
      </c>
      <c r="M16" s="1">
        <v>1.1052E-3</v>
      </c>
      <c r="N16" s="1">
        <v>0.59089000000000003</v>
      </c>
      <c r="O16" s="1" t="s">
        <v>52</v>
      </c>
    </row>
    <row r="17" spans="2:15">
      <c r="B17" s="1">
        <v>16.2</v>
      </c>
      <c r="C17" s="1">
        <v>0.10131999999999999</v>
      </c>
      <c r="D17" s="1">
        <v>998.91</v>
      </c>
      <c r="E17" s="1">
        <v>1.0011E-3</v>
      </c>
      <c r="F17" s="1">
        <v>68.001000000000005</v>
      </c>
      <c r="G17" s="1">
        <v>68.102000000000004</v>
      </c>
      <c r="H17" s="1">
        <v>0.24185000000000001</v>
      </c>
      <c r="I17" s="1">
        <v>4.1703000000000001</v>
      </c>
      <c r="J17" s="1">
        <v>4.1871999999999998</v>
      </c>
      <c r="K17" s="1">
        <v>1470.1</v>
      </c>
      <c r="L17" s="1">
        <v>-0.22767999999999999</v>
      </c>
      <c r="M17" s="1">
        <v>1.1023000000000001E-3</v>
      </c>
      <c r="N17" s="1">
        <v>0.59108000000000005</v>
      </c>
      <c r="O17" s="1" t="s">
        <v>52</v>
      </c>
    </row>
    <row r="18" spans="2:15">
      <c r="B18" s="1">
        <v>16.3</v>
      </c>
      <c r="C18" s="1">
        <v>0.10131999999999999</v>
      </c>
      <c r="D18" s="1">
        <v>998.9</v>
      </c>
      <c r="E18" s="1">
        <v>1.0011E-3</v>
      </c>
      <c r="F18" s="1">
        <v>68.42</v>
      </c>
      <c r="G18" s="1">
        <v>68.521000000000001</v>
      </c>
      <c r="H18" s="1">
        <v>0.24329999999999999</v>
      </c>
      <c r="I18" s="1">
        <v>4.1699000000000002</v>
      </c>
      <c r="J18" s="1">
        <v>4.1871</v>
      </c>
      <c r="K18" s="1">
        <v>1470.4</v>
      </c>
      <c r="L18" s="1">
        <v>-0.2276</v>
      </c>
      <c r="M18" s="1">
        <v>1.0995E-3</v>
      </c>
      <c r="N18" s="1">
        <v>0.59126999999999996</v>
      </c>
      <c r="O18" s="1" t="s">
        <v>52</v>
      </c>
    </row>
    <row r="19" spans="2:15">
      <c r="B19" s="1">
        <v>16.399999999999999</v>
      </c>
      <c r="C19" s="1">
        <v>0.10131999999999999</v>
      </c>
      <c r="D19" s="1">
        <v>998.88</v>
      </c>
      <c r="E19" s="1">
        <v>1.0011E-3</v>
      </c>
      <c r="F19" s="1">
        <v>68.837999999999994</v>
      </c>
      <c r="G19" s="1">
        <v>68.94</v>
      </c>
      <c r="H19" s="1">
        <v>0.24475</v>
      </c>
      <c r="I19" s="1">
        <v>4.1696</v>
      </c>
      <c r="J19" s="1">
        <v>4.1870000000000003</v>
      </c>
      <c r="K19" s="1">
        <v>1470.7</v>
      </c>
      <c r="L19" s="1">
        <v>-0.22753000000000001</v>
      </c>
      <c r="M19" s="1">
        <v>1.0966000000000001E-3</v>
      </c>
      <c r="N19" s="1">
        <v>0.59145999999999999</v>
      </c>
      <c r="O19" s="1" t="s">
        <v>52</v>
      </c>
    </row>
    <row r="20" spans="2:15">
      <c r="B20" s="1">
        <v>16.5</v>
      </c>
      <c r="C20" s="1">
        <v>0.10131999999999999</v>
      </c>
      <c r="D20" s="1">
        <v>998.86</v>
      </c>
      <c r="E20" s="1">
        <v>1.0011E-3</v>
      </c>
      <c r="F20" s="1">
        <v>69.257000000000005</v>
      </c>
      <c r="G20" s="1">
        <v>69.358000000000004</v>
      </c>
      <c r="H20" s="1">
        <v>0.24618999999999999</v>
      </c>
      <c r="I20" s="1">
        <v>4.1692999999999998</v>
      </c>
      <c r="J20" s="1">
        <v>4.1868999999999996</v>
      </c>
      <c r="K20" s="1">
        <v>1471.1</v>
      </c>
      <c r="L20" s="1">
        <v>-0.22746</v>
      </c>
      <c r="M20" s="1">
        <v>1.0938E-3</v>
      </c>
      <c r="N20" s="1">
        <v>0.59164000000000005</v>
      </c>
      <c r="O20" s="1" t="s">
        <v>52</v>
      </c>
    </row>
    <row r="21" spans="2:15">
      <c r="B21" s="1">
        <v>16.600000000000001</v>
      </c>
      <c r="C21" s="1">
        <v>0.10131999999999999</v>
      </c>
      <c r="D21" s="1">
        <v>998.85</v>
      </c>
      <c r="E21" s="1">
        <v>1.0012E-3</v>
      </c>
      <c r="F21" s="1">
        <v>69.676000000000002</v>
      </c>
      <c r="G21" s="1">
        <v>69.777000000000001</v>
      </c>
      <c r="H21" s="1">
        <v>0.24764</v>
      </c>
      <c r="I21" s="1">
        <v>4.1688999999999998</v>
      </c>
      <c r="J21" s="1">
        <v>4.1867999999999999</v>
      </c>
      <c r="K21" s="1">
        <v>1471.4</v>
      </c>
      <c r="L21" s="1">
        <v>-0.22738</v>
      </c>
      <c r="M21" s="1">
        <v>1.091E-3</v>
      </c>
      <c r="N21" s="1">
        <v>0.59182999999999997</v>
      </c>
      <c r="O21" s="1" t="s">
        <v>52</v>
      </c>
    </row>
    <row r="22" spans="2:15">
      <c r="B22" s="1">
        <v>16.7</v>
      </c>
      <c r="C22" s="1">
        <v>0.10131999999999999</v>
      </c>
      <c r="D22" s="1">
        <v>998.83</v>
      </c>
      <c r="E22" s="1">
        <v>1.0012E-3</v>
      </c>
      <c r="F22" s="1">
        <v>70.093999999999994</v>
      </c>
      <c r="G22" s="1">
        <v>70.195999999999998</v>
      </c>
      <c r="H22" s="1">
        <v>0.24908</v>
      </c>
      <c r="I22" s="1">
        <v>4.1685999999999996</v>
      </c>
      <c r="J22" s="1">
        <v>4.1867000000000001</v>
      </c>
      <c r="K22" s="1">
        <v>1471.8</v>
      </c>
      <c r="L22" s="1">
        <v>-0.22731000000000001</v>
      </c>
      <c r="M22" s="1">
        <v>1.0882000000000001E-3</v>
      </c>
      <c r="N22" s="1">
        <v>0.59201999999999999</v>
      </c>
      <c r="O22" s="1" t="s">
        <v>52</v>
      </c>
    </row>
    <row r="23" spans="2:15">
      <c r="B23" s="1">
        <v>16.8</v>
      </c>
      <c r="C23" s="1">
        <v>0.10131999999999999</v>
      </c>
      <c r="D23" s="1">
        <v>998.81</v>
      </c>
      <c r="E23" s="1">
        <v>1.0012E-3</v>
      </c>
      <c r="F23" s="1">
        <v>70.513000000000005</v>
      </c>
      <c r="G23" s="1">
        <v>70.614000000000004</v>
      </c>
      <c r="H23" s="1">
        <v>0.25052999999999997</v>
      </c>
      <c r="I23" s="1">
        <v>4.1681999999999997</v>
      </c>
      <c r="J23" s="1">
        <v>4.1866000000000003</v>
      </c>
      <c r="K23" s="1">
        <v>1472.1</v>
      </c>
      <c r="L23" s="1">
        <v>-0.22722999999999999</v>
      </c>
      <c r="M23" s="1">
        <v>1.0854E-3</v>
      </c>
      <c r="N23" s="1">
        <v>0.59221000000000001</v>
      </c>
      <c r="O23" s="1" t="s">
        <v>52</v>
      </c>
    </row>
    <row r="24" spans="2:15">
      <c r="B24" s="1">
        <v>16.899999999999999</v>
      </c>
      <c r="C24" s="1">
        <v>0.10131999999999999</v>
      </c>
      <c r="D24" s="1">
        <v>998.8</v>
      </c>
      <c r="E24" s="1">
        <v>1.0012E-3</v>
      </c>
      <c r="F24" s="1">
        <v>70.932000000000002</v>
      </c>
      <c r="G24" s="1">
        <v>71.033000000000001</v>
      </c>
      <c r="H24" s="1">
        <v>0.25197000000000003</v>
      </c>
      <c r="I24" s="1">
        <v>4.1679000000000004</v>
      </c>
      <c r="J24" s="1">
        <v>4.1866000000000003</v>
      </c>
      <c r="K24" s="1">
        <v>1472.4</v>
      </c>
      <c r="L24" s="1">
        <v>-0.22716</v>
      </c>
      <c r="M24" s="1">
        <v>1.0826E-3</v>
      </c>
      <c r="N24" s="1">
        <v>0.59238999999999997</v>
      </c>
      <c r="O24" s="1" t="s">
        <v>52</v>
      </c>
    </row>
    <row r="25" spans="2:15">
      <c r="B25" s="1">
        <v>17</v>
      </c>
      <c r="C25" s="1">
        <v>0.10131999999999999</v>
      </c>
      <c r="D25" s="1">
        <v>998.78</v>
      </c>
      <c r="E25" s="1">
        <v>1.0012E-3</v>
      </c>
      <c r="F25" s="1">
        <v>71.349999999999994</v>
      </c>
      <c r="G25" s="1">
        <v>71.451999999999998</v>
      </c>
      <c r="H25" s="1">
        <v>0.25341000000000002</v>
      </c>
      <c r="I25" s="1">
        <v>4.1675000000000004</v>
      </c>
      <c r="J25" s="1">
        <v>4.1864999999999997</v>
      </c>
      <c r="K25" s="1">
        <v>1472.8</v>
      </c>
      <c r="L25" s="1">
        <v>-0.22708999999999999</v>
      </c>
      <c r="M25" s="1">
        <v>1.0797999999999999E-3</v>
      </c>
      <c r="N25" s="1">
        <v>0.59258</v>
      </c>
      <c r="O25" s="1" t="s">
        <v>52</v>
      </c>
    </row>
    <row r="26" spans="2:15">
      <c r="B26" s="1">
        <v>17.100000000000001</v>
      </c>
      <c r="C26" s="1">
        <v>0.10131999999999999</v>
      </c>
      <c r="D26" s="1">
        <v>998.76</v>
      </c>
      <c r="E26" s="1">
        <v>1.0012E-3</v>
      </c>
      <c r="F26" s="1">
        <v>71.769000000000005</v>
      </c>
      <c r="G26" s="1">
        <v>71.87</v>
      </c>
      <c r="H26" s="1">
        <v>0.25485000000000002</v>
      </c>
      <c r="I26" s="1">
        <v>4.1670999999999996</v>
      </c>
      <c r="J26" s="1">
        <v>4.1863999999999999</v>
      </c>
      <c r="K26" s="1">
        <v>1473.1</v>
      </c>
      <c r="L26" s="1">
        <v>-0.22700999999999999</v>
      </c>
      <c r="M26" s="1">
        <v>1.077E-3</v>
      </c>
      <c r="N26" s="1">
        <v>0.59275999999999995</v>
      </c>
      <c r="O26" s="1" t="s">
        <v>52</v>
      </c>
    </row>
    <row r="27" spans="2:15">
      <c r="B27" s="1">
        <v>17.2</v>
      </c>
      <c r="C27" s="1">
        <v>0.10131999999999999</v>
      </c>
      <c r="D27" s="1">
        <v>998.74</v>
      </c>
      <c r="E27" s="1">
        <v>1.0013000000000001E-3</v>
      </c>
      <c r="F27" s="1">
        <v>72.188000000000002</v>
      </c>
      <c r="G27" s="1">
        <v>72.289000000000001</v>
      </c>
      <c r="H27" s="1">
        <v>0.25629999999999997</v>
      </c>
      <c r="I27" s="1">
        <v>4.1668000000000003</v>
      </c>
      <c r="J27" s="1">
        <v>4.1863000000000001</v>
      </c>
      <c r="K27" s="1">
        <v>1473.4</v>
      </c>
      <c r="L27" s="1">
        <v>-0.22694</v>
      </c>
      <c r="M27" s="1">
        <v>1.0743E-3</v>
      </c>
      <c r="N27" s="1">
        <v>0.59294999999999998</v>
      </c>
      <c r="O27" s="1" t="s">
        <v>52</v>
      </c>
    </row>
    <row r="28" spans="2:15">
      <c r="B28" s="1">
        <v>17.3</v>
      </c>
      <c r="C28" s="1">
        <v>0.10131999999999999</v>
      </c>
      <c r="D28" s="1">
        <v>998.73</v>
      </c>
      <c r="E28" s="1">
        <v>1.0013000000000001E-3</v>
      </c>
      <c r="F28" s="1">
        <v>72.605999999999995</v>
      </c>
      <c r="G28" s="1">
        <v>72.707999999999998</v>
      </c>
      <c r="H28" s="1">
        <v>0.25774000000000002</v>
      </c>
      <c r="I28" s="1">
        <v>4.1664000000000003</v>
      </c>
      <c r="J28" s="1">
        <v>4.1862000000000004</v>
      </c>
      <c r="K28" s="1">
        <v>1473.7</v>
      </c>
      <c r="L28" s="1">
        <v>-0.22686000000000001</v>
      </c>
      <c r="M28" s="1">
        <v>1.0715E-3</v>
      </c>
      <c r="N28" s="1">
        <v>0.59313000000000005</v>
      </c>
      <c r="O28" s="1" t="s">
        <v>52</v>
      </c>
    </row>
    <row r="29" spans="2:15">
      <c r="B29" s="1">
        <v>17.399999999999999</v>
      </c>
      <c r="C29" s="1">
        <v>0.10131999999999999</v>
      </c>
      <c r="D29" s="1">
        <v>998.71</v>
      </c>
      <c r="E29" s="1">
        <v>1.0013000000000001E-3</v>
      </c>
      <c r="F29" s="1">
        <v>73.025000000000006</v>
      </c>
      <c r="G29" s="1">
        <v>73.126000000000005</v>
      </c>
      <c r="H29" s="1">
        <v>0.25918000000000002</v>
      </c>
      <c r="I29" s="1">
        <v>4.1661000000000001</v>
      </c>
      <c r="J29" s="1">
        <v>4.1860999999999997</v>
      </c>
      <c r="K29" s="1">
        <v>1474.1</v>
      </c>
      <c r="L29" s="1">
        <v>-0.22678999999999999</v>
      </c>
      <c r="M29" s="1">
        <v>1.0688E-3</v>
      </c>
      <c r="N29" s="1">
        <v>0.59331999999999996</v>
      </c>
      <c r="O29" s="1" t="s">
        <v>52</v>
      </c>
    </row>
    <row r="30" spans="2:15">
      <c r="B30" s="1">
        <v>17.5</v>
      </c>
      <c r="C30" s="1">
        <v>0.10131999999999999</v>
      </c>
      <c r="D30" s="1">
        <v>998.69</v>
      </c>
      <c r="E30" s="1">
        <v>1.0013000000000001E-3</v>
      </c>
      <c r="F30" s="1">
        <v>73.442999999999998</v>
      </c>
      <c r="G30" s="1">
        <v>73.545000000000002</v>
      </c>
      <c r="H30" s="1">
        <v>0.26062000000000002</v>
      </c>
      <c r="I30" s="1">
        <v>4.1657000000000002</v>
      </c>
      <c r="J30" s="1">
        <v>4.1859999999999999</v>
      </c>
      <c r="K30" s="1">
        <v>1474.4</v>
      </c>
      <c r="L30" s="1">
        <v>-0.22672</v>
      </c>
      <c r="M30" s="1">
        <v>1.0660999999999999E-3</v>
      </c>
      <c r="N30" s="1">
        <v>0.59350000000000003</v>
      </c>
      <c r="O30" s="1" t="s">
        <v>52</v>
      </c>
    </row>
    <row r="31" spans="2:15">
      <c r="B31" s="1">
        <v>17.600000000000001</v>
      </c>
      <c r="C31" s="1">
        <v>0.10131999999999999</v>
      </c>
      <c r="D31" s="1">
        <v>998.67</v>
      </c>
      <c r="E31" s="1">
        <v>1.0013000000000001E-3</v>
      </c>
      <c r="F31" s="1">
        <v>73.861999999999995</v>
      </c>
      <c r="G31" s="1">
        <v>73.962999999999994</v>
      </c>
      <c r="H31" s="1">
        <v>0.26206000000000002</v>
      </c>
      <c r="I31" s="1">
        <v>4.1654</v>
      </c>
      <c r="J31" s="1">
        <v>4.1859000000000002</v>
      </c>
      <c r="K31" s="1">
        <v>1474.7</v>
      </c>
      <c r="L31" s="1">
        <v>-0.22664999999999999</v>
      </c>
      <c r="M31" s="1">
        <v>1.0633999999999999E-3</v>
      </c>
      <c r="N31" s="1">
        <v>0.59369000000000005</v>
      </c>
      <c r="O31" s="1" t="s">
        <v>52</v>
      </c>
    </row>
    <row r="32" spans="2:15">
      <c r="B32" s="1">
        <v>17.7</v>
      </c>
      <c r="C32" s="1">
        <v>0.10131999999999999</v>
      </c>
      <c r="D32" s="1">
        <v>998.65</v>
      </c>
      <c r="E32" s="1">
        <v>1.0013000000000001E-3</v>
      </c>
      <c r="F32" s="1">
        <v>74.281000000000006</v>
      </c>
      <c r="G32" s="1">
        <v>74.382000000000005</v>
      </c>
      <c r="H32" s="1">
        <v>0.26350000000000001</v>
      </c>
      <c r="I32" s="1">
        <v>4.165</v>
      </c>
      <c r="J32" s="1">
        <v>4.1858000000000004</v>
      </c>
      <c r="K32" s="1">
        <v>1475.1</v>
      </c>
      <c r="L32" s="1">
        <v>-0.22656999999999999</v>
      </c>
      <c r="M32" s="1">
        <v>1.0606999999999999E-3</v>
      </c>
      <c r="N32" s="1">
        <v>0.59387000000000001</v>
      </c>
      <c r="O32" s="1" t="s">
        <v>52</v>
      </c>
    </row>
    <row r="33" spans="2:15">
      <c r="B33" s="1">
        <v>17.8</v>
      </c>
      <c r="C33" s="1">
        <v>0.10131999999999999</v>
      </c>
      <c r="D33" s="1">
        <v>998.64</v>
      </c>
      <c r="E33" s="1">
        <v>1.0013999999999999E-3</v>
      </c>
      <c r="F33" s="1">
        <v>74.698999999999998</v>
      </c>
      <c r="G33" s="1">
        <v>74.801000000000002</v>
      </c>
      <c r="H33" s="1">
        <v>0.26494000000000001</v>
      </c>
      <c r="I33" s="1">
        <v>4.1646999999999998</v>
      </c>
      <c r="J33" s="1">
        <v>4.1858000000000004</v>
      </c>
      <c r="K33" s="1">
        <v>1475.4</v>
      </c>
      <c r="L33" s="1">
        <v>-0.22650000000000001</v>
      </c>
      <c r="M33" s="1">
        <v>1.0579999999999999E-3</v>
      </c>
      <c r="N33" s="1">
        <v>0.59404999999999997</v>
      </c>
      <c r="O33" s="1" t="s">
        <v>52</v>
      </c>
    </row>
    <row r="34" spans="2:15">
      <c r="B34" s="1">
        <v>17.899999999999999</v>
      </c>
      <c r="C34" s="1">
        <v>0.10131999999999999</v>
      </c>
      <c r="D34" s="1">
        <v>998.62</v>
      </c>
      <c r="E34" s="1">
        <v>1.0013999999999999E-3</v>
      </c>
      <c r="F34" s="1">
        <v>75.117999999999995</v>
      </c>
      <c r="G34" s="1">
        <v>75.218999999999994</v>
      </c>
      <c r="H34" s="1">
        <v>0.26638000000000001</v>
      </c>
      <c r="I34" s="1">
        <v>4.1642999999999999</v>
      </c>
      <c r="J34" s="1">
        <v>4.1856999999999998</v>
      </c>
      <c r="K34" s="1">
        <v>1475.7</v>
      </c>
      <c r="L34" s="1">
        <v>-0.22642999999999999</v>
      </c>
      <c r="M34" s="1">
        <v>1.0552999999999999E-3</v>
      </c>
      <c r="N34" s="1">
        <v>0.59423999999999999</v>
      </c>
      <c r="O34" s="1" t="s">
        <v>52</v>
      </c>
    </row>
    <row r="35" spans="2:15">
      <c r="B35" s="1">
        <v>18</v>
      </c>
      <c r="C35" s="1">
        <v>0.10131999999999999</v>
      </c>
      <c r="D35" s="1">
        <v>998.6</v>
      </c>
      <c r="E35" s="1">
        <v>1.0013999999999999E-3</v>
      </c>
      <c r="F35" s="1">
        <v>75.536000000000001</v>
      </c>
      <c r="G35" s="1">
        <v>75.638000000000005</v>
      </c>
      <c r="H35" s="1">
        <v>0.26780999999999999</v>
      </c>
      <c r="I35" s="1">
        <v>4.1639999999999997</v>
      </c>
      <c r="J35" s="1">
        <v>4.1856</v>
      </c>
      <c r="K35" s="1">
        <v>1476</v>
      </c>
      <c r="L35" s="1">
        <v>-0.22635</v>
      </c>
      <c r="M35" s="1">
        <v>1.0526999999999999E-3</v>
      </c>
      <c r="N35" s="1">
        <v>0.59441999999999995</v>
      </c>
      <c r="O35" s="1" t="s">
        <v>52</v>
      </c>
    </row>
    <row r="36" spans="2:15">
      <c r="B36" s="1">
        <v>18.100000000000001</v>
      </c>
      <c r="C36" s="1">
        <v>0.10131999999999999</v>
      </c>
      <c r="D36" s="1">
        <v>998.58</v>
      </c>
      <c r="E36" s="1">
        <v>1.0013999999999999E-3</v>
      </c>
      <c r="F36" s="1">
        <v>75.954999999999998</v>
      </c>
      <c r="G36" s="1">
        <v>76.055999999999997</v>
      </c>
      <c r="H36" s="1">
        <v>0.26924999999999999</v>
      </c>
      <c r="I36" s="1">
        <v>4.1635999999999997</v>
      </c>
      <c r="J36" s="1">
        <v>4.1855000000000002</v>
      </c>
      <c r="K36" s="1">
        <v>1476.4</v>
      </c>
      <c r="L36" s="1">
        <v>-0.22628000000000001</v>
      </c>
      <c r="M36" s="1">
        <v>1.0499999999999999E-3</v>
      </c>
      <c r="N36" s="1">
        <v>0.59460000000000002</v>
      </c>
      <c r="O36" s="1" t="s">
        <v>52</v>
      </c>
    </row>
    <row r="37" spans="2:15">
      <c r="B37" s="1">
        <v>18.2</v>
      </c>
      <c r="C37" s="1">
        <v>0.10131999999999999</v>
      </c>
      <c r="D37" s="1">
        <v>998.56</v>
      </c>
      <c r="E37" s="1">
        <v>1.0013999999999999E-3</v>
      </c>
      <c r="F37" s="1">
        <v>76.373000000000005</v>
      </c>
      <c r="G37" s="1">
        <v>76.474999999999994</v>
      </c>
      <c r="H37" s="1">
        <v>0.27068999999999999</v>
      </c>
      <c r="I37" s="1">
        <v>4.1631999999999998</v>
      </c>
      <c r="J37" s="1">
        <v>4.1853999999999996</v>
      </c>
      <c r="K37" s="1">
        <v>1476.7</v>
      </c>
      <c r="L37" s="1">
        <v>-0.22620999999999999</v>
      </c>
      <c r="M37" s="1">
        <v>1.0474E-3</v>
      </c>
      <c r="N37" s="1">
        <v>0.59477999999999998</v>
      </c>
      <c r="O37" s="1" t="s">
        <v>52</v>
      </c>
    </row>
    <row r="38" spans="2:15">
      <c r="B38" s="1">
        <v>18.3</v>
      </c>
      <c r="C38" s="1">
        <v>0.10131999999999999</v>
      </c>
      <c r="D38" s="1">
        <v>998.54</v>
      </c>
      <c r="E38" s="1">
        <v>1.0015E-3</v>
      </c>
      <c r="F38" s="1">
        <v>76.792000000000002</v>
      </c>
      <c r="G38" s="1">
        <v>76.893000000000001</v>
      </c>
      <c r="H38" s="1">
        <v>0.27211999999999997</v>
      </c>
      <c r="I38" s="1">
        <v>4.1628999999999996</v>
      </c>
      <c r="J38" s="1">
        <v>4.1852999999999998</v>
      </c>
      <c r="K38" s="1">
        <v>1477</v>
      </c>
      <c r="L38" s="1">
        <v>-0.22614000000000001</v>
      </c>
      <c r="M38" s="1">
        <v>1.0447E-3</v>
      </c>
      <c r="N38" s="1">
        <v>0.59496000000000004</v>
      </c>
      <c r="O38" s="1" t="s">
        <v>52</v>
      </c>
    </row>
    <row r="39" spans="2:15">
      <c r="B39" s="1">
        <v>18.399999999999999</v>
      </c>
      <c r="C39" s="1">
        <v>0.10131999999999999</v>
      </c>
      <c r="D39" s="1">
        <v>998.52</v>
      </c>
      <c r="E39" s="1">
        <v>1.0015E-3</v>
      </c>
      <c r="F39" s="1">
        <v>77.209999999999994</v>
      </c>
      <c r="G39" s="1">
        <v>77.311999999999998</v>
      </c>
      <c r="H39" s="1">
        <v>0.27356000000000003</v>
      </c>
      <c r="I39" s="1">
        <v>4.1624999999999996</v>
      </c>
      <c r="J39" s="1">
        <v>4.1852999999999998</v>
      </c>
      <c r="K39" s="1">
        <v>1477.3</v>
      </c>
      <c r="L39" s="1">
        <v>-0.22606000000000001</v>
      </c>
      <c r="M39" s="1">
        <v>1.0421E-3</v>
      </c>
      <c r="N39" s="1">
        <v>0.59514999999999996</v>
      </c>
      <c r="O39" s="1" t="s">
        <v>52</v>
      </c>
    </row>
    <row r="40" spans="2:15">
      <c r="B40" s="1">
        <v>18.5</v>
      </c>
      <c r="C40" s="1">
        <v>0.10131999999999999</v>
      </c>
      <c r="D40" s="1">
        <v>998.5</v>
      </c>
      <c r="E40" s="1">
        <v>1.0015E-3</v>
      </c>
      <c r="F40" s="1">
        <v>77.629000000000005</v>
      </c>
      <c r="G40" s="1">
        <v>77.73</v>
      </c>
      <c r="H40" s="1">
        <v>0.27500000000000002</v>
      </c>
      <c r="I40" s="1">
        <v>4.1622000000000003</v>
      </c>
      <c r="J40" s="1">
        <v>4.1852</v>
      </c>
      <c r="K40" s="1">
        <v>1477.6</v>
      </c>
      <c r="L40" s="1">
        <v>-0.22599</v>
      </c>
      <c r="M40" s="1">
        <v>1.0395000000000001E-3</v>
      </c>
      <c r="N40" s="1">
        <v>0.59533000000000003</v>
      </c>
      <c r="O40" s="1" t="s">
        <v>52</v>
      </c>
    </row>
    <row r="41" spans="2:15">
      <c r="B41" s="1">
        <v>18.600000000000001</v>
      </c>
      <c r="C41" s="1">
        <v>0.10131999999999999</v>
      </c>
      <c r="D41" s="1">
        <v>998.49</v>
      </c>
      <c r="E41" s="1">
        <v>1.0015E-3</v>
      </c>
      <c r="F41" s="1">
        <v>78.046999999999997</v>
      </c>
      <c r="G41" s="1">
        <v>78.149000000000001</v>
      </c>
      <c r="H41" s="1">
        <v>0.27643000000000001</v>
      </c>
      <c r="I41" s="1">
        <v>4.1618000000000004</v>
      </c>
      <c r="J41" s="1">
        <v>4.1851000000000003</v>
      </c>
      <c r="K41" s="1">
        <v>1478</v>
      </c>
      <c r="L41" s="1">
        <v>-0.22592000000000001</v>
      </c>
      <c r="M41" s="1">
        <v>1.0369000000000001E-3</v>
      </c>
      <c r="N41" s="1">
        <v>0.59550999999999998</v>
      </c>
      <c r="O41" s="1" t="s">
        <v>52</v>
      </c>
    </row>
    <row r="42" spans="2:15">
      <c r="B42" s="1">
        <v>18.7</v>
      </c>
      <c r="C42" s="1">
        <v>0.10131999999999999</v>
      </c>
      <c r="D42" s="1">
        <v>998.47</v>
      </c>
      <c r="E42" s="1">
        <v>1.0015E-3</v>
      </c>
      <c r="F42" s="1">
        <v>78.465999999999994</v>
      </c>
      <c r="G42" s="1">
        <v>78.566999999999993</v>
      </c>
      <c r="H42" s="1">
        <v>0.27786</v>
      </c>
      <c r="I42" s="1">
        <v>4.1614000000000004</v>
      </c>
      <c r="J42" s="1">
        <v>4.1849999999999996</v>
      </c>
      <c r="K42" s="1">
        <v>1478.3</v>
      </c>
      <c r="L42" s="1">
        <v>-0.22585</v>
      </c>
      <c r="M42" s="1">
        <v>1.0342999999999999E-3</v>
      </c>
      <c r="N42" s="1">
        <v>0.59569000000000005</v>
      </c>
      <c r="O42" s="1" t="s">
        <v>52</v>
      </c>
    </row>
    <row r="43" spans="2:15">
      <c r="B43" s="1">
        <v>18.8</v>
      </c>
      <c r="C43" s="1">
        <v>0.10131999999999999</v>
      </c>
      <c r="D43" s="1">
        <v>998.45</v>
      </c>
      <c r="E43" s="1">
        <v>1.0016000000000001E-3</v>
      </c>
      <c r="F43" s="1">
        <v>78.884</v>
      </c>
      <c r="G43" s="1">
        <v>78.986000000000004</v>
      </c>
      <c r="H43" s="1">
        <v>0.27929999999999999</v>
      </c>
      <c r="I43" s="1">
        <v>4.1611000000000002</v>
      </c>
      <c r="J43" s="1">
        <v>4.1848999999999998</v>
      </c>
      <c r="K43" s="1">
        <v>1478.6</v>
      </c>
      <c r="L43" s="1">
        <v>-0.22577</v>
      </c>
      <c r="M43" s="1">
        <v>1.0318E-3</v>
      </c>
      <c r="N43" s="1">
        <v>0.59587000000000001</v>
      </c>
      <c r="O43" s="1" t="s">
        <v>52</v>
      </c>
    </row>
    <row r="44" spans="2:15">
      <c r="B44" s="1">
        <v>18.899999999999999</v>
      </c>
      <c r="C44" s="1">
        <v>0.10131999999999999</v>
      </c>
      <c r="D44" s="1">
        <v>998.43</v>
      </c>
      <c r="E44" s="1">
        <v>1.0016000000000001E-3</v>
      </c>
      <c r="F44" s="1">
        <v>79.302999999999997</v>
      </c>
      <c r="G44" s="1">
        <v>79.403999999999996</v>
      </c>
      <c r="H44" s="1">
        <v>0.28072999999999998</v>
      </c>
      <c r="I44" s="1">
        <v>4.1607000000000003</v>
      </c>
      <c r="J44" s="1">
        <v>4.1848999999999998</v>
      </c>
      <c r="K44" s="1">
        <v>1478.9</v>
      </c>
      <c r="L44" s="1">
        <v>-0.22570000000000001</v>
      </c>
      <c r="M44" s="1">
        <v>1.0292000000000001E-3</v>
      </c>
      <c r="N44" s="1">
        <v>0.59604999999999997</v>
      </c>
      <c r="O44" s="1" t="s">
        <v>52</v>
      </c>
    </row>
    <row r="45" spans="2:15">
      <c r="B45" s="1">
        <v>19</v>
      </c>
      <c r="C45" s="1">
        <v>0.10131999999999999</v>
      </c>
      <c r="D45" s="1">
        <v>998.41</v>
      </c>
      <c r="E45" s="1">
        <v>1.0016000000000001E-3</v>
      </c>
      <c r="F45" s="1">
        <v>79.721000000000004</v>
      </c>
      <c r="G45" s="1">
        <v>79.822999999999993</v>
      </c>
      <c r="H45" s="1">
        <v>0.28216000000000002</v>
      </c>
      <c r="I45" s="1">
        <v>4.1603000000000003</v>
      </c>
      <c r="J45" s="1">
        <v>4.1848000000000001</v>
      </c>
      <c r="K45" s="1">
        <v>1479.2</v>
      </c>
      <c r="L45" s="1">
        <v>-0.22563</v>
      </c>
      <c r="M45" s="1">
        <v>1.0265999999999999E-3</v>
      </c>
      <c r="N45" s="1">
        <v>0.59623000000000004</v>
      </c>
      <c r="O45" s="1" t="s">
        <v>52</v>
      </c>
    </row>
    <row r="46" spans="2:15">
      <c r="B46" s="1">
        <v>19.100000000000001</v>
      </c>
      <c r="C46" s="1">
        <v>0.10131999999999999</v>
      </c>
      <c r="D46" s="1">
        <v>998.39</v>
      </c>
      <c r="E46" s="1">
        <v>1.0016000000000001E-3</v>
      </c>
      <c r="F46" s="1">
        <v>80.14</v>
      </c>
      <c r="G46" s="1">
        <v>80.241</v>
      </c>
      <c r="H46" s="1">
        <v>0.28360000000000002</v>
      </c>
      <c r="I46" s="1">
        <v>4.16</v>
      </c>
      <c r="J46" s="1">
        <v>4.1847000000000003</v>
      </c>
      <c r="K46" s="1">
        <v>1479.5</v>
      </c>
      <c r="L46" s="1">
        <v>-0.22556000000000001</v>
      </c>
      <c r="M46" s="1">
        <v>1.0241E-3</v>
      </c>
      <c r="N46" s="1">
        <v>0.59641</v>
      </c>
      <c r="O46" s="1" t="s">
        <v>52</v>
      </c>
    </row>
    <row r="47" spans="2:15">
      <c r="B47" s="1">
        <v>19.2</v>
      </c>
      <c r="C47" s="1">
        <v>0.10131999999999999</v>
      </c>
      <c r="D47" s="1">
        <v>998.37</v>
      </c>
      <c r="E47" s="1">
        <v>1.0016000000000001E-3</v>
      </c>
      <c r="F47" s="1">
        <v>80.558000000000007</v>
      </c>
      <c r="G47" s="1">
        <v>80.66</v>
      </c>
      <c r="H47" s="1">
        <v>0.28503000000000001</v>
      </c>
      <c r="I47" s="1">
        <v>4.1596000000000002</v>
      </c>
      <c r="J47" s="1">
        <v>4.1845999999999997</v>
      </c>
      <c r="K47" s="1">
        <v>1479.9</v>
      </c>
      <c r="L47" s="1">
        <v>-0.22549</v>
      </c>
      <c r="M47" s="1">
        <v>1.0215000000000001E-3</v>
      </c>
      <c r="N47" s="1">
        <v>0.59658999999999995</v>
      </c>
      <c r="O47" s="1" t="s">
        <v>52</v>
      </c>
    </row>
    <row r="48" spans="2:15">
      <c r="B48" s="1">
        <v>19.3</v>
      </c>
      <c r="C48" s="1">
        <v>0.10131999999999999</v>
      </c>
      <c r="D48" s="1">
        <v>998.35</v>
      </c>
      <c r="E48" s="1">
        <v>1.0016999999999999E-3</v>
      </c>
      <c r="F48" s="1">
        <v>80.977000000000004</v>
      </c>
      <c r="G48" s="1">
        <v>81.078000000000003</v>
      </c>
      <c r="H48" s="1">
        <v>0.28645999999999999</v>
      </c>
      <c r="I48" s="1">
        <v>4.1593</v>
      </c>
      <c r="J48" s="1">
        <v>4.1845999999999997</v>
      </c>
      <c r="K48" s="1">
        <v>1480.2</v>
      </c>
      <c r="L48" s="1">
        <v>-0.22542000000000001</v>
      </c>
      <c r="M48" s="1">
        <v>1.0189999999999999E-3</v>
      </c>
      <c r="N48" s="1">
        <v>0.59677000000000002</v>
      </c>
      <c r="O48" s="1" t="s">
        <v>52</v>
      </c>
    </row>
    <row r="49" spans="2:15">
      <c r="B49" s="1">
        <v>19.399999999999999</v>
      </c>
      <c r="C49" s="1">
        <v>0.10131999999999999</v>
      </c>
      <c r="D49" s="1">
        <v>998.33</v>
      </c>
      <c r="E49" s="1">
        <v>1.0016999999999999E-3</v>
      </c>
      <c r="F49" s="1">
        <v>81.394999999999996</v>
      </c>
      <c r="G49" s="1">
        <v>81.497</v>
      </c>
      <c r="H49" s="1">
        <v>0.28788999999999998</v>
      </c>
      <c r="I49" s="1">
        <v>4.1589</v>
      </c>
      <c r="J49" s="1">
        <v>4.1844999999999999</v>
      </c>
      <c r="K49" s="1">
        <v>1480.5</v>
      </c>
      <c r="L49" s="1">
        <v>-0.22534000000000001</v>
      </c>
      <c r="M49" s="1">
        <v>1.0165E-3</v>
      </c>
      <c r="N49" s="1">
        <v>0.59694999999999998</v>
      </c>
      <c r="O49" s="1" t="s">
        <v>52</v>
      </c>
    </row>
    <row r="50" spans="2:15">
      <c r="B50" s="1">
        <v>19.5</v>
      </c>
      <c r="C50" s="1">
        <v>0.10131999999999999</v>
      </c>
      <c r="D50" s="1">
        <v>998.31</v>
      </c>
      <c r="E50" s="1">
        <v>1.0016999999999999E-3</v>
      </c>
      <c r="F50" s="1">
        <v>81.813999999999993</v>
      </c>
      <c r="G50" s="1">
        <v>81.915000000000006</v>
      </c>
      <c r="H50" s="1">
        <v>0.28932000000000002</v>
      </c>
      <c r="I50" s="1">
        <v>4.1585000000000001</v>
      </c>
      <c r="J50" s="1">
        <v>4.1844000000000001</v>
      </c>
      <c r="K50" s="1">
        <v>1480.8</v>
      </c>
      <c r="L50" s="1">
        <v>-0.22527</v>
      </c>
      <c r="M50" s="1">
        <v>1.0139999999999999E-3</v>
      </c>
      <c r="N50" s="1">
        <v>0.59711999999999998</v>
      </c>
      <c r="O50" s="1" t="s">
        <v>52</v>
      </c>
    </row>
    <row r="51" spans="2:15">
      <c r="B51" s="1">
        <v>19.600000000000001</v>
      </c>
      <c r="C51" s="1">
        <v>0.10131999999999999</v>
      </c>
      <c r="D51" s="1">
        <v>998.29</v>
      </c>
      <c r="E51" s="1">
        <v>1.0016999999999999E-3</v>
      </c>
      <c r="F51" s="1">
        <v>82.231999999999999</v>
      </c>
      <c r="G51" s="1">
        <v>82.334000000000003</v>
      </c>
      <c r="H51" s="1">
        <v>0.29075000000000001</v>
      </c>
      <c r="I51" s="1">
        <v>4.1581999999999999</v>
      </c>
      <c r="J51" s="1">
        <v>4.1843000000000004</v>
      </c>
      <c r="K51" s="1">
        <v>1481.1</v>
      </c>
      <c r="L51" s="1">
        <v>-0.22520000000000001</v>
      </c>
      <c r="M51" s="1">
        <v>1.0115E-3</v>
      </c>
      <c r="N51" s="1">
        <v>0.59730000000000005</v>
      </c>
      <c r="O51" s="1" t="s">
        <v>52</v>
      </c>
    </row>
    <row r="52" spans="2:15">
      <c r="B52" s="1">
        <v>19.7</v>
      </c>
      <c r="C52" s="1">
        <v>0.10131999999999999</v>
      </c>
      <c r="D52" s="1">
        <v>998.27</v>
      </c>
      <c r="E52" s="1">
        <v>1.0016999999999999E-3</v>
      </c>
      <c r="F52" s="1">
        <v>82.650999999999996</v>
      </c>
      <c r="G52" s="1">
        <v>82.751999999999995</v>
      </c>
      <c r="H52" s="1">
        <v>0.29218</v>
      </c>
      <c r="I52" s="1">
        <v>4.1577999999999999</v>
      </c>
      <c r="J52" s="1">
        <v>4.1843000000000004</v>
      </c>
      <c r="K52" s="1">
        <v>1481.4</v>
      </c>
      <c r="L52" s="1">
        <v>-0.22513</v>
      </c>
      <c r="M52" s="1">
        <v>1.0089999999999999E-3</v>
      </c>
      <c r="N52" s="1">
        <v>0.59748000000000001</v>
      </c>
      <c r="O52" s="1" t="s">
        <v>52</v>
      </c>
    </row>
    <row r="53" spans="2:15">
      <c r="B53" s="1">
        <v>19.8</v>
      </c>
      <c r="C53" s="1">
        <v>0.10131999999999999</v>
      </c>
      <c r="D53" s="1">
        <v>998.25</v>
      </c>
      <c r="E53" s="1">
        <v>1.0018E-3</v>
      </c>
      <c r="F53" s="1">
        <v>83.069000000000003</v>
      </c>
      <c r="G53" s="1">
        <v>83.17</v>
      </c>
      <c r="H53" s="1">
        <v>0.29360999999999998</v>
      </c>
      <c r="I53" s="1">
        <v>4.1574</v>
      </c>
      <c r="J53" s="1">
        <v>4.1841999999999997</v>
      </c>
      <c r="K53" s="1">
        <v>1481.7</v>
      </c>
      <c r="L53" s="1">
        <v>-0.22506000000000001</v>
      </c>
      <c r="M53" s="1">
        <v>1.0065E-3</v>
      </c>
      <c r="N53" s="1">
        <v>0.59765999999999997</v>
      </c>
      <c r="O53" s="1" t="s">
        <v>52</v>
      </c>
    </row>
    <row r="54" spans="2:15">
      <c r="B54" s="1">
        <v>19.899999999999999</v>
      </c>
      <c r="C54" s="1">
        <v>0.10131999999999999</v>
      </c>
      <c r="D54" s="1">
        <v>998.23</v>
      </c>
      <c r="E54" s="1">
        <v>1.0018E-3</v>
      </c>
      <c r="F54" s="1">
        <v>83.486999999999995</v>
      </c>
      <c r="G54" s="1">
        <v>83.588999999999999</v>
      </c>
      <c r="H54" s="1">
        <v>0.29504000000000002</v>
      </c>
      <c r="I54" s="1">
        <v>4.1570999999999998</v>
      </c>
      <c r="J54" s="1">
        <v>4.1840999999999999</v>
      </c>
      <c r="K54" s="1">
        <v>1482</v>
      </c>
      <c r="L54" s="1">
        <v>-0.22499</v>
      </c>
      <c r="M54" s="1">
        <v>1.0041E-3</v>
      </c>
      <c r="N54" s="1">
        <v>0.59784000000000004</v>
      </c>
      <c r="O54" s="1" t="s">
        <v>52</v>
      </c>
    </row>
    <row r="55" spans="2:15">
      <c r="B55" s="1">
        <v>20</v>
      </c>
      <c r="C55" s="1">
        <v>0.10131999999999999</v>
      </c>
      <c r="D55" s="1">
        <v>998.21</v>
      </c>
      <c r="E55" s="1">
        <v>1.0018E-3</v>
      </c>
      <c r="F55" s="1">
        <v>83.906000000000006</v>
      </c>
      <c r="G55" s="1">
        <v>84.007000000000005</v>
      </c>
      <c r="H55" s="1">
        <v>0.29646</v>
      </c>
      <c r="I55" s="1">
        <v>4.1566999999999998</v>
      </c>
      <c r="J55" s="1">
        <v>4.1840999999999999</v>
      </c>
      <c r="K55" s="1">
        <v>1482.3</v>
      </c>
      <c r="L55" s="1">
        <v>-0.22492000000000001</v>
      </c>
      <c r="M55" s="1">
        <v>1.0016000000000001E-3</v>
      </c>
      <c r="N55" s="1">
        <v>0.59801000000000004</v>
      </c>
      <c r="O55" s="1" t="s">
        <v>52</v>
      </c>
    </row>
    <row r="56" spans="2:15">
      <c r="B56" s="1">
        <v>20.100000000000001</v>
      </c>
      <c r="C56" s="1">
        <v>0.10131999999999999</v>
      </c>
      <c r="D56" s="1">
        <v>998.19</v>
      </c>
      <c r="E56" s="1">
        <v>1.0018E-3</v>
      </c>
      <c r="F56" s="1">
        <v>84.323999999999998</v>
      </c>
      <c r="G56" s="1">
        <v>84.426000000000002</v>
      </c>
      <c r="H56" s="1">
        <v>0.29788999999999999</v>
      </c>
      <c r="I56" s="1">
        <v>4.1562999999999999</v>
      </c>
      <c r="J56" s="1">
        <v>4.1840000000000002</v>
      </c>
      <c r="K56" s="1">
        <v>1482.7</v>
      </c>
      <c r="L56" s="1">
        <v>-0.22484999999999999</v>
      </c>
      <c r="M56" s="1">
        <v>9.9915000000000008E-4</v>
      </c>
      <c r="N56" s="1">
        <v>0.59819</v>
      </c>
      <c r="O56" s="1" t="s">
        <v>52</v>
      </c>
    </row>
    <row r="57" spans="2:15">
      <c r="B57" s="1">
        <v>20.2</v>
      </c>
      <c r="C57" s="1">
        <v>0.10131999999999999</v>
      </c>
      <c r="D57" s="1">
        <v>998.17</v>
      </c>
      <c r="E57" s="1">
        <v>1.0018E-3</v>
      </c>
      <c r="F57" s="1">
        <v>84.742999999999995</v>
      </c>
      <c r="G57" s="1">
        <v>84.843999999999994</v>
      </c>
      <c r="H57" s="1">
        <v>0.29931999999999997</v>
      </c>
      <c r="I57" s="1">
        <v>4.1558999999999999</v>
      </c>
      <c r="J57" s="1">
        <v>4.1839000000000004</v>
      </c>
      <c r="K57" s="1">
        <v>1483</v>
      </c>
      <c r="L57" s="1">
        <v>-0.22477</v>
      </c>
      <c r="M57" s="1">
        <v>9.9671000000000004E-4</v>
      </c>
      <c r="N57" s="1">
        <v>0.59836999999999996</v>
      </c>
      <c r="O57" s="1" t="s">
        <v>52</v>
      </c>
    </row>
    <row r="58" spans="2:15">
      <c r="B58" s="1">
        <v>20.3</v>
      </c>
      <c r="C58" s="1">
        <v>0.10131999999999999</v>
      </c>
      <c r="D58" s="1">
        <v>998.14</v>
      </c>
      <c r="E58" s="1">
        <v>1.0019E-3</v>
      </c>
      <c r="F58" s="1">
        <v>85.161000000000001</v>
      </c>
      <c r="G58" s="1">
        <v>85.262</v>
      </c>
      <c r="H58" s="1">
        <v>0.30074000000000001</v>
      </c>
      <c r="I58" s="1">
        <v>4.1555999999999997</v>
      </c>
      <c r="J58" s="1">
        <v>4.1837999999999997</v>
      </c>
      <c r="K58" s="1">
        <v>1483.3</v>
      </c>
      <c r="L58" s="1">
        <v>-0.22470000000000001</v>
      </c>
      <c r="M58" s="1">
        <v>9.9427999999999995E-4</v>
      </c>
      <c r="N58" s="1">
        <v>0.59853999999999996</v>
      </c>
      <c r="O58" s="1" t="s">
        <v>52</v>
      </c>
    </row>
    <row r="59" spans="2:15">
      <c r="B59" s="1">
        <v>20.399999999999999</v>
      </c>
      <c r="C59" s="1">
        <v>0.10131999999999999</v>
      </c>
      <c r="D59" s="1">
        <v>998.12</v>
      </c>
      <c r="E59" s="1">
        <v>1.0019E-3</v>
      </c>
      <c r="F59" s="1">
        <v>85.578999999999994</v>
      </c>
      <c r="G59" s="1">
        <v>85.680999999999997</v>
      </c>
      <c r="H59" s="1">
        <v>0.30216999999999999</v>
      </c>
      <c r="I59" s="1">
        <v>4.1551999999999998</v>
      </c>
      <c r="J59" s="1">
        <v>4.1837999999999997</v>
      </c>
      <c r="K59" s="1">
        <v>1483.6</v>
      </c>
      <c r="L59" s="1">
        <v>-0.22463</v>
      </c>
      <c r="M59" s="1">
        <v>9.9186000000000001E-4</v>
      </c>
      <c r="N59" s="1">
        <v>0.59872000000000003</v>
      </c>
      <c r="O59" s="1" t="s">
        <v>52</v>
      </c>
    </row>
    <row r="60" spans="2:15">
      <c r="B60" s="1">
        <v>20.5</v>
      </c>
      <c r="C60" s="1">
        <v>0.10131999999999999</v>
      </c>
      <c r="D60" s="1">
        <v>998.1</v>
      </c>
      <c r="E60" s="1">
        <v>1.0019E-3</v>
      </c>
      <c r="F60" s="1">
        <v>85.998000000000005</v>
      </c>
      <c r="G60" s="1">
        <v>86.099000000000004</v>
      </c>
      <c r="H60" s="1">
        <v>0.30359000000000003</v>
      </c>
      <c r="I60" s="1">
        <v>4.1547999999999998</v>
      </c>
      <c r="J60" s="1">
        <v>4.1837</v>
      </c>
      <c r="K60" s="1">
        <v>1483.9</v>
      </c>
      <c r="L60" s="1">
        <v>-0.22456000000000001</v>
      </c>
      <c r="M60" s="1">
        <v>9.8945000000000001E-4</v>
      </c>
      <c r="N60" s="1">
        <v>0.59889000000000003</v>
      </c>
      <c r="O60" s="1" t="s">
        <v>52</v>
      </c>
    </row>
    <row r="61" spans="2:15">
      <c r="B61" s="1">
        <v>20.6</v>
      </c>
      <c r="C61" s="1">
        <v>0.10131999999999999</v>
      </c>
      <c r="D61" s="1">
        <v>998.08</v>
      </c>
      <c r="E61" s="1">
        <v>1.0019E-3</v>
      </c>
      <c r="F61" s="1">
        <v>86.415999999999997</v>
      </c>
      <c r="G61" s="1">
        <v>86.518000000000001</v>
      </c>
      <c r="H61" s="1">
        <v>0.30502000000000001</v>
      </c>
      <c r="I61" s="1">
        <v>4.1544999999999996</v>
      </c>
      <c r="J61" s="1">
        <v>4.1836000000000002</v>
      </c>
      <c r="K61" s="1">
        <v>1484.2</v>
      </c>
      <c r="L61" s="1">
        <v>-0.22449</v>
      </c>
      <c r="M61" s="1">
        <v>9.8704999999999995E-4</v>
      </c>
      <c r="N61" s="1">
        <v>0.59906999999999999</v>
      </c>
      <c r="O61" s="1" t="s">
        <v>52</v>
      </c>
    </row>
    <row r="62" spans="2:15">
      <c r="B62" s="1">
        <v>20.7</v>
      </c>
      <c r="C62" s="1">
        <v>0.10131999999999999</v>
      </c>
      <c r="D62" s="1">
        <v>998.06</v>
      </c>
      <c r="E62" s="1">
        <v>1.0019E-3</v>
      </c>
      <c r="F62" s="1">
        <v>86.834000000000003</v>
      </c>
      <c r="G62" s="1">
        <v>86.936000000000007</v>
      </c>
      <c r="H62" s="1">
        <v>0.30643999999999999</v>
      </c>
      <c r="I62" s="1">
        <v>4.1540999999999997</v>
      </c>
      <c r="J62" s="1">
        <v>4.1836000000000002</v>
      </c>
      <c r="K62" s="1">
        <v>1484.5</v>
      </c>
      <c r="L62" s="1">
        <v>-0.22442000000000001</v>
      </c>
      <c r="M62" s="1">
        <v>9.8466000000000005E-4</v>
      </c>
      <c r="N62" s="1">
        <v>0.59923999999999999</v>
      </c>
      <c r="O62" s="1" t="s">
        <v>52</v>
      </c>
    </row>
    <row r="63" spans="2:15">
      <c r="B63" s="1">
        <v>20.8</v>
      </c>
      <c r="C63" s="1">
        <v>0.10131999999999999</v>
      </c>
      <c r="D63" s="1">
        <v>998.04</v>
      </c>
      <c r="E63" s="1">
        <v>1.0020000000000001E-3</v>
      </c>
      <c r="F63" s="1">
        <v>87.253</v>
      </c>
      <c r="G63" s="1">
        <v>87.353999999999999</v>
      </c>
      <c r="H63" s="1">
        <v>0.30786000000000002</v>
      </c>
      <c r="I63" s="1">
        <v>4.1536999999999997</v>
      </c>
      <c r="J63" s="1">
        <v>4.1835000000000004</v>
      </c>
      <c r="K63" s="1">
        <v>1484.8</v>
      </c>
      <c r="L63" s="1">
        <v>-0.22434999999999999</v>
      </c>
      <c r="M63" s="1">
        <v>9.8226999999999993E-4</v>
      </c>
      <c r="N63" s="1">
        <v>0.59941999999999995</v>
      </c>
      <c r="O63" s="1" t="s">
        <v>52</v>
      </c>
    </row>
    <row r="64" spans="2:15">
      <c r="B64" s="1">
        <v>20.9</v>
      </c>
      <c r="C64" s="1">
        <v>0.10131999999999999</v>
      </c>
      <c r="D64" s="1">
        <v>998.02</v>
      </c>
      <c r="E64" s="1">
        <v>1.0020000000000001E-3</v>
      </c>
      <c r="F64" s="1">
        <v>87.671000000000006</v>
      </c>
      <c r="G64" s="1">
        <v>87.772999999999996</v>
      </c>
      <c r="H64" s="1">
        <v>0.30929000000000001</v>
      </c>
      <c r="I64" s="1">
        <v>4.1532999999999998</v>
      </c>
      <c r="J64" s="1">
        <v>4.1833999999999998</v>
      </c>
      <c r="K64" s="1">
        <v>1485.1</v>
      </c>
      <c r="L64" s="1">
        <v>-0.22428000000000001</v>
      </c>
      <c r="M64" s="1">
        <v>9.7989999999999991E-4</v>
      </c>
      <c r="N64" s="1">
        <v>0.59958999999999996</v>
      </c>
      <c r="O64" s="1" t="s">
        <v>52</v>
      </c>
    </row>
    <row r="65" spans="2:15">
      <c r="B65" s="1">
        <v>21</v>
      </c>
      <c r="C65" s="1">
        <v>0.10131999999999999</v>
      </c>
      <c r="D65" s="1">
        <v>998</v>
      </c>
      <c r="E65" s="1">
        <v>1.0020000000000001E-3</v>
      </c>
      <c r="F65" s="1">
        <v>88.088999999999999</v>
      </c>
      <c r="G65" s="1">
        <v>88.191000000000003</v>
      </c>
      <c r="H65" s="1">
        <v>0.31070999999999999</v>
      </c>
      <c r="I65" s="1">
        <v>4.1529999999999996</v>
      </c>
      <c r="J65" s="1">
        <v>4.1833999999999998</v>
      </c>
      <c r="K65" s="1">
        <v>1485.4</v>
      </c>
      <c r="L65" s="1">
        <v>-0.22420999999999999</v>
      </c>
      <c r="M65" s="1">
        <v>9.7754000000000005E-4</v>
      </c>
      <c r="N65" s="1">
        <v>0.59977000000000003</v>
      </c>
      <c r="O65" s="1" t="s">
        <v>52</v>
      </c>
    </row>
    <row r="66" spans="2:15">
      <c r="B66" s="1">
        <v>21.1</v>
      </c>
      <c r="C66" s="1">
        <v>0.10131999999999999</v>
      </c>
      <c r="D66" s="1">
        <v>997.97</v>
      </c>
      <c r="E66" s="1">
        <v>1.0020000000000001E-3</v>
      </c>
      <c r="F66" s="1">
        <v>88.507999999999996</v>
      </c>
      <c r="G66" s="1">
        <v>88.608999999999995</v>
      </c>
      <c r="H66" s="1">
        <v>0.31213000000000002</v>
      </c>
      <c r="I66" s="1">
        <v>4.1525999999999996</v>
      </c>
      <c r="J66" s="1">
        <v>4.1833</v>
      </c>
      <c r="K66" s="1">
        <v>1485.7</v>
      </c>
      <c r="L66" s="1">
        <v>-0.22414000000000001</v>
      </c>
      <c r="M66" s="1">
        <v>9.7517999999999997E-4</v>
      </c>
      <c r="N66" s="1">
        <v>0.59994000000000003</v>
      </c>
      <c r="O66" s="1" t="s">
        <v>52</v>
      </c>
    </row>
    <row r="67" spans="2:15">
      <c r="B67" s="1">
        <v>21.2</v>
      </c>
      <c r="C67" s="1">
        <v>0.10131999999999999</v>
      </c>
      <c r="D67" s="1">
        <v>997.95</v>
      </c>
      <c r="E67" s="1">
        <v>1.0020999999999999E-3</v>
      </c>
      <c r="F67" s="1">
        <v>88.926000000000002</v>
      </c>
      <c r="G67" s="1">
        <v>89.028000000000006</v>
      </c>
      <c r="H67" s="1">
        <v>0.31355</v>
      </c>
      <c r="I67" s="1">
        <v>4.1521999999999997</v>
      </c>
      <c r="J67" s="1">
        <v>4.1833</v>
      </c>
      <c r="K67" s="1">
        <v>1486</v>
      </c>
      <c r="L67" s="1">
        <v>-0.22406999999999999</v>
      </c>
      <c r="M67" s="1">
        <v>9.7283999999999999E-4</v>
      </c>
      <c r="N67" s="1">
        <v>0.60011000000000003</v>
      </c>
      <c r="O67" s="1" t="s">
        <v>52</v>
      </c>
    </row>
    <row r="68" spans="2:15">
      <c r="B68" s="1">
        <v>21.3</v>
      </c>
      <c r="C68" s="1">
        <v>0.10131999999999999</v>
      </c>
      <c r="D68" s="1">
        <v>997.93</v>
      </c>
      <c r="E68" s="1">
        <v>1.0020999999999999E-3</v>
      </c>
      <c r="F68" s="1">
        <v>89.343999999999994</v>
      </c>
      <c r="G68" s="1">
        <v>89.445999999999998</v>
      </c>
      <c r="H68" s="1">
        <v>0.31497000000000003</v>
      </c>
      <c r="I68" s="1">
        <v>4.1517999999999997</v>
      </c>
      <c r="J68" s="1">
        <v>4.1832000000000003</v>
      </c>
      <c r="K68" s="1">
        <v>1486.3</v>
      </c>
      <c r="L68" s="1">
        <v>-0.224</v>
      </c>
      <c r="M68" s="1">
        <v>9.7050000000000001E-4</v>
      </c>
      <c r="N68" s="1">
        <v>0.60028999999999999</v>
      </c>
      <c r="O68" s="1" t="s">
        <v>52</v>
      </c>
    </row>
    <row r="69" spans="2:15">
      <c r="B69" s="1">
        <v>21.4</v>
      </c>
      <c r="C69" s="1">
        <v>0.10131999999999999</v>
      </c>
      <c r="D69" s="1">
        <v>997.91</v>
      </c>
      <c r="E69" s="1">
        <v>1.0020999999999999E-3</v>
      </c>
      <c r="F69" s="1">
        <v>89.763000000000005</v>
      </c>
      <c r="G69" s="1">
        <v>89.864000000000004</v>
      </c>
      <c r="H69" s="1">
        <v>0.31639</v>
      </c>
      <c r="I69" s="1">
        <v>4.1515000000000004</v>
      </c>
      <c r="J69" s="1">
        <v>4.1830999999999996</v>
      </c>
      <c r="K69" s="1">
        <v>1486.6</v>
      </c>
      <c r="L69" s="1">
        <v>-0.22392999999999999</v>
      </c>
      <c r="M69" s="1">
        <v>9.6816999999999997E-4</v>
      </c>
      <c r="N69" s="1">
        <v>0.60045999999999999</v>
      </c>
      <c r="O69" s="1" t="s">
        <v>52</v>
      </c>
    </row>
    <row r="70" spans="2:15">
      <c r="B70" s="1">
        <v>21.5</v>
      </c>
      <c r="C70" s="1">
        <v>0.10131999999999999</v>
      </c>
      <c r="D70" s="1">
        <v>997.89</v>
      </c>
      <c r="E70" s="1">
        <v>1.0020999999999999E-3</v>
      </c>
      <c r="F70" s="1">
        <v>90.180999999999997</v>
      </c>
      <c r="G70" s="1">
        <v>90.283000000000001</v>
      </c>
      <c r="H70" s="1">
        <v>0.31780999999999998</v>
      </c>
      <c r="I70" s="1">
        <v>4.1510999999999996</v>
      </c>
      <c r="J70" s="1">
        <v>4.1830999999999996</v>
      </c>
      <c r="K70" s="1">
        <v>1486.9</v>
      </c>
      <c r="L70" s="1">
        <v>-0.22386</v>
      </c>
      <c r="M70" s="1">
        <v>9.6584999999999998E-4</v>
      </c>
      <c r="N70" s="1">
        <v>0.60063</v>
      </c>
      <c r="O70" s="1" t="s">
        <v>52</v>
      </c>
    </row>
    <row r="71" spans="2:15">
      <c r="B71" s="1">
        <v>21.6</v>
      </c>
      <c r="C71" s="1">
        <v>0.10131999999999999</v>
      </c>
      <c r="D71" s="1">
        <v>997.86</v>
      </c>
      <c r="E71" s="1">
        <v>1.0020999999999999E-3</v>
      </c>
      <c r="F71" s="1">
        <v>90.599000000000004</v>
      </c>
      <c r="G71" s="1">
        <v>90.700999999999993</v>
      </c>
      <c r="H71" s="1">
        <v>0.31923000000000001</v>
      </c>
      <c r="I71" s="1">
        <v>4.1506999999999996</v>
      </c>
      <c r="J71" s="1">
        <v>4.1829999999999998</v>
      </c>
      <c r="K71" s="1">
        <v>1487.2</v>
      </c>
      <c r="L71" s="1">
        <v>-0.22378999999999999</v>
      </c>
      <c r="M71" s="1">
        <v>9.6354999999999998E-4</v>
      </c>
      <c r="N71" s="1">
        <v>0.60080999999999996</v>
      </c>
      <c r="O71" s="1" t="s">
        <v>52</v>
      </c>
    </row>
    <row r="72" spans="2:15">
      <c r="B72" s="1">
        <v>21.7</v>
      </c>
      <c r="C72" s="1">
        <v>0.10131999999999999</v>
      </c>
      <c r="D72" s="1">
        <v>997.84</v>
      </c>
      <c r="E72" s="1">
        <v>1.0022E-3</v>
      </c>
      <c r="F72" s="1">
        <v>91.018000000000001</v>
      </c>
      <c r="G72" s="1">
        <v>91.119</v>
      </c>
      <c r="H72" s="1">
        <v>0.32064999999999999</v>
      </c>
      <c r="I72" s="1">
        <v>4.1502999999999997</v>
      </c>
      <c r="J72" s="1">
        <v>4.1829999999999998</v>
      </c>
      <c r="K72" s="1">
        <v>1487.4</v>
      </c>
      <c r="L72" s="1">
        <v>-0.22372</v>
      </c>
      <c r="M72" s="1">
        <v>9.6124000000000003E-4</v>
      </c>
      <c r="N72" s="1">
        <v>0.60097999999999996</v>
      </c>
      <c r="O72" s="1" t="s">
        <v>52</v>
      </c>
    </row>
    <row r="73" spans="2:15">
      <c r="B73" s="1">
        <v>21.8</v>
      </c>
      <c r="C73" s="1">
        <v>0.10131999999999999</v>
      </c>
      <c r="D73" s="1">
        <v>997.82</v>
      </c>
      <c r="E73" s="1">
        <v>1.0022E-3</v>
      </c>
      <c r="F73" s="1">
        <v>91.436000000000007</v>
      </c>
      <c r="G73" s="1">
        <v>91.537999999999997</v>
      </c>
      <c r="H73" s="1">
        <v>0.32207000000000002</v>
      </c>
      <c r="I73" s="1">
        <v>4.1498999999999997</v>
      </c>
      <c r="J73" s="1">
        <v>4.1829000000000001</v>
      </c>
      <c r="K73" s="1">
        <v>1487.7</v>
      </c>
      <c r="L73" s="1">
        <v>-0.22364999999999999</v>
      </c>
      <c r="M73" s="1">
        <v>9.5894999999999997E-4</v>
      </c>
      <c r="N73" s="1">
        <v>0.60114999999999996</v>
      </c>
      <c r="O73" s="1" t="s">
        <v>52</v>
      </c>
    </row>
    <row r="74" spans="2:15">
      <c r="B74" s="1">
        <v>21.9</v>
      </c>
      <c r="C74" s="1">
        <v>0.10131999999999999</v>
      </c>
      <c r="D74" s="1">
        <v>997.8</v>
      </c>
      <c r="E74" s="1">
        <v>1.0022E-3</v>
      </c>
      <c r="F74" s="1">
        <v>91.853999999999999</v>
      </c>
      <c r="G74" s="1">
        <v>91.956000000000003</v>
      </c>
      <c r="H74" s="1">
        <v>0.32349</v>
      </c>
      <c r="I74" s="1">
        <v>4.1496000000000004</v>
      </c>
      <c r="J74" s="1">
        <v>4.1828000000000003</v>
      </c>
      <c r="K74" s="1">
        <v>1488</v>
      </c>
      <c r="L74" s="1">
        <v>-0.22358</v>
      </c>
      <c r="M74" s="1">
        <v>9.5666999999999996E-4</v>
      </c>
      <c r="N74" s="1">
        <v>0.60131999999999997</v>
      </c>
      <c r="O74" s="1" t="s">
        <v>52</v>
      </c>
    </row>
    <row r="75" spans="2:15">
      <c r="B75" s="1">
        <v>22</v>
      </c>
      <c r="C75" s="1">
        <v>0.10131999999999999</v>
      </c>
      <c r="D75" s="1">
        <v>997.77</v>
      </c>
      <c r="E75" s="1">
        <v>1.0022E-3</v>
      </c>
      <c r="F75" s="1">
        <v>92.272999999999996</v>
      </c>
      <c r="G75" s="1">
        <v>92.373999999999995</v>
      </c>
      <c r="H75" s="1">
        <v>0.32490999999999998</v>
      </c>
      <c r="I75" s="1">
        <v>4.1492000000000004</v>
      </c>
      <c r="J75" s="1">
        <v>4.1828000000000003</v>
      </c>
      <c r="K75" s="1">
        <v>1488.3</v>
      </c>
      <c r="L75" s="1">
        <v>-0.22350999999999999</v>
      </c>
      <c r="M75" s="1">
        <v>9.544E-4</v>
      </c>
      <c r="N75" s="1">
        <v>0.60148999999999997</v>
      </c>
      <c r="O75" s="1" t="s">
        <v>52</v>
      </c>
    </row>
    <row r="76" spans="2:15">
      <c r="B76" s="1">
        <v>22.1</v>
      </c>
      <c r="C76" s="1">
        <v>0.10131999999999999</v>
      </c>
      <c r="D76" s="1">
        <v>997.75</v>
      </c>
      <c r="E76" s="1">
        <v>1.0023E-3</v>
      </c>
      <c r="F76" s="1">
        <v>92.691000000000003</v>
      </c>
      <c r="G76" s="1">
        <v>92.792000000000002</v>
      </c>
      <c r="H76" s="1">
        <v>0.32632</v>
      </c>
      <c r="I76" s="1">
        <v>4.1487999999999996</v>
      </c>
      <c r="J76" s="1">
        <v>4.1826999999999996</v>
      </c>
      <c r="K76" s="1">
        <v>1488.6</v>
      </c>
      <c r="L76" s="1">
        <v>-0.22344</v>
      </c>
      <c r="M76" s="1">
        <v>9.5213000000000003E-4</v>
      </c>
      <c r="N76" s="1">
        <v>0.60165999999999997</v>
      </c>
      <c r="O76" s="1" t="s">
        <v>52</v>
      </c>
    </row>
    <row r="77" spans="2:15">
      <c r="B77" s="1">
        <v>22.2</v>
      </c>
      <c r="C77" s="1">
        <v>0.10131999999999999</v>
      </c>
      <c r="D77" s="1">
        <v>997.73</v>
      </c>
      <c r="E77" s="1">
        <v>1.0023E-3</v>
      </c>
      <c r="F77" s="1">
        <v>93.108999999999995</v>
      </c>
      <c r="G77" s="1">
        <v>93.210999999999999</v>
      </c>
      <c r="H77" s="1">
        <v>0.32773999999999998</v>
      </c>
      <c r="I77" s="1">
        <v>4.1483999999999996</v>
      </c>
      <c r="J77" s="1">
        <v>4.1826999999999996</v>
      </c>
      <c r="K77" s="1">
        <v>1488.9</v>
      </c>
      <c r="L77" s="1">
        <v>-0.22337000000000001</v>
      </c>
      <c r="M77" s="1">
        <v>9.4987000000000001E-4</v>
      </c>
      <c r="N77" s="1">
        <v>0.60184000000000004</v>
      </c>
      <c r="O77" s="1" t="s">
        <v>52</v>
      </c>
    </row>
    <row r="78" spans="2:15">
      <c r="B78" s="1">
        <v>22.3</v>
      </c>
      <c r="C78" s="1">
        <v>0.10131999999999999</v>
      </c>
      <c r="D78" s="1">
        <v>997.7</v>
      </c>
      <c r="E78" s="1">
        <v>1.0023E-3</v>
      </c>
      <c r="F78" s="1">
        <v>93.527000000000001</v>
      </c>
      <c r="G78" s="1">
        <v>93.629000000000005</v>
      </c>
      <c r="H78" s="1">
        <v>0.32916000000000001</v>
      </c>
      <c r="I78" s="1">
        <v>4.1479999999999997</v>
      </c>
      <c r="J78" s="1">
        <v>4.1825999999999999</v>
      </c>
      <c r="K78" s="1">
        <v>1489.2</v>
      </c>
      <c r="L78" s="1">
        <v>-0.22331000000000001</v>
      </c>
      <c r="M78" s="1">
        <v>9.4762999999999998E-4</v>
      </c>
      <c r="N78" s="1">
        <v>0.60201000000000005</v>
      </c>
      <c r="O78" s="1" t="s">
        <v>52</v>
      </c>
    </row>
    <row r="79" spans="2:15">
      <c r="B79" s="1">
        <v>22.4</v>
      </c>
      <c r="C79" s="1">
        <v>0.10131999999999999</v>
      </c>
      <c r="D79" s="1">
        <v>997.68</v>
      </c>
      <c r="E79" s="1">
        <v>1.0023E-3</v>
      </c>
      <c r="F79" s="1">
        <v>93.945999999999998</v>
      </c>
      <c r="G79" s="1">
        <v>94.046999999999997</v>
      </c>
      <c r="H79" s="1">
        <v>0.33056999999999997</v>
      </c>
      <c r="I79" s="1">
        <v>4.1477000000000004</v>
      </c>
      <c r="J79" s="1">
        <v>4.1825999999999999</v>
      </c>
      <c r="K79" s="1">
        <v>1489.5</v>
      </c>
      <c r="L79" s="1">
        <v>-0.22323999999999999</v>
      </c>
      <c r="M79" s="1">
        <v>9.4539000000000005E-4</v>
      </c>
      <c r="N79" s="1">
        <v>0.60218000000000005</v>
      </c>
      <c r="O79" s="1" t="s">
        <v>52</v>
      </c>
    </row>
    <row r="80" spans="2:15">
      <c r="B80" s="1">
        <v>22.5</v>
      </c>
      <c r="C80" s="1">
        <v>0.10131999999999999</v>
      </c>
      <c r="D80" s="1">
        <v>997.66</v>
      </c>
      <c r="E80" s="1">
        <v>1.0023E-3</v>
      </c>
      <c r="F80" s="1">
        <v>94.364000000000004</v>
      </c>
      <c r="G80" s="1">
        <v>94.465000000000003</v>
      </c>
      <c r="H80" s="1">
        <v>0.33199000000000001</v>
      </c>
      <c r="I80" s="1">
        <v>4.1473000000000004</v>
      </c>
      <c r="J80" s="1">
        <v>4.1825000000000001</v>
      </c>
      <c r="K80" s="1">
        <v>1489.8</v>
      </c>
      <c r="L80" s="1">
        <v>-0.22317000000000001</v>
      </c>
      <c r="M80" s="1">
        <v>9.4315000000000002E-4</v>
      </c>
      <c r="N80" s="1">
        <v>0.60235000000000005</v>
      </c>
      <c r="O80" s="1" t="s">
        <v>52</v>
      </c>
    </row>
    <row r="81" spans="2:15">
      <c r="B81" s="1">
        <v>22.6</v>
      </c>
      <c r="C81" s="1">
        <v>0.10131999999999999</v>
      </c>
      <c r="D81" s="1">
        <v>997.64</v>
      </c>
      <c r="E81" s="1">
        <v>1.0024000000000001E-3</v>
      </c>
      <c r="F81" s="1">
        <v>94.781999999999996</v>
      </c>
      <c r="G81" s="1">
        <v>94.884</v>
      </c>
      <c r="H81" s="1">
        <v>0.33339999999999997</v>
      </c>
      <c r="I81" s="1">
        <v>4.1468999999999996</v>
      </c>
      <c r="J81" s="1">
        <v>4.1825000000000001</v>
      </c>
      <c r="K81" s="1">
        <v>1490.1</v>
      </c>
      <c r="L81" s="1">
        <v>-0.22309999999999999</v>
      </c>
      <c r="M81" s="1">
        <v>9.4092999999999998E-4</v>
      </c>
      <c r="N81" s="1">
        <v>0.60251999999999994</v>
      </c>
      <c r="O81" s="1" t="s">
        <v>52</v>
      </c>
    </row>
    <row r="82" spans="2:15">
      <c r="B82" s="1">
        <v>22.7</v>
      </c>
      <c r="C82" s="1">
        <v>0.10131999999999999</v>
      </c>
      <c r="D82" s="1">
        <v>997.61</v>
      </c>
      <c r="E82" s="1">
        <v>1.0024000000000001E-3</v>
      </c>
      <c r="F82" s="1">
        <v>95.2</v>
      </c>
      <c r="G82" s="1">
        <v>95.302000000000007</v>
      </c>
      <c r="H82" s="1">
        <v>0.33481</v>
      </c>
      <c r="I82" s="1">
        <v>4.1464999999999996</v>
      </c>
      <c r="J82" s="1">
        <v>4.1824000000000003</v>
      </c>
      <c r="K82" s="1">
        <v>1490.3</v>
      </c>
      <c r="L82" s="1">
        <v>-0.22303000000000001</v>
      </c>
      <c r="M82" s="1">
        <v>9.3871999999999998E-4</v>
      </c>
      <c r="N82" s="1">
        <v>0.60268999999999995</v>
      </c>
      <c r="O82" s="1" t="s">
        <v>52</v>
      </c>
    </row>
    <row r="83" spans="2:15">
      <c r="B83" s="1">
        <v>22.8</v>
      </c>
      <c r="C83" s="1">
        <v>0.10131999999999999</v>
      </c>
      <c r="D83" s="1">
        <v>997.59</v>
      </c>
      <c r="E83" s="1">
        <v>1.0024000000000001E-3</v>
      </c>
      <c r="F83" s="1">
        <v>95.619</v>
      </c>
      <c r="G83" s="1">
        <v>95.72</v>
      </c>
      <c r="H83" s="1">
        <v>0.33622999999999997</v>
      </c>
      <c r="I83" s="1">
        <v>4.1460999999999997</v>
      </c>
      <c r="J83" s="1">
        <v>4.1822999999999997</v>
      </c>
      <c r="K83" s="1">
        <v>1490.6</v>
      </c>
      <c r="L83" s="1">
        <v>-0.22295999999999999</v>
      </c>
      <c r="M83" s="1">
        <v>9.3650999999999999E-4</v>
      </c>
      <c r="N83" s="1">
        <v>0.60285999999999995</v>
      </c>
      <c r="O83" s="1" t="s">
        <v>52</v>
      </c>
    </row>
    <row r="84" spans="2:15">
      <c r="B84" s="1">
        <v>22.9</v>
      </c>
      <c r="C84" s="1">
        <v>0.10131999999999999</v>
      </c>
      <c r="D84" s="1">
        <v>997.57</v>
      </c>
      <c r="E84" s="1">
        <v>1.0024000000000001E-3</v>
      </c>
      <c r="F84" s="1">
        <v>96.037000000000006</v>
      </c>
      <c r="G84" s="1">
        <v>96.138000000000005</v>
      </c>
      <c r="H84" s="1">
        <v>0.33764</v>
      </c>
      <c r="I84" s="1">
        <v>4.1458000000000004</v>
      </c>
      <c r="J84" s="1">
        <v>4.1822999999999997</v>
      </c>
      <c r="K84" s="1">
        <v>1490.9</v>
      </c>
      <c r="L84" s="1">
        <v>-0.22289</v>
      </c>
      <c r="M84" s="1">
        <v>9.3431000000000004E-4</v>
      </c>
      <c r="N84" s="1">
        <v>0.60302999999999995</v>
      </c>
      <c r="O84" s="1" t="s">
        <v>52</v>
      </c>
    </row>
    <row r="85" spans="2:15">
      <c r="B85" s="1">
        <v>23</v>
      </c>
      <c r="C85" s="1">
        <v>0.10131999999999999</v>
      </c>
      <c r="D85" s="1">
        <v>997.54</v>
      </c>
      <c r="E85" s="1">
        <v>1.0024999999999999E-3</v>
      </c>
      <c r="F85" s="1">
        <v>96.454999999999998</v>
      </c>
      <c r="G85" s="1">
        <v>96.557000000000002</v>
      </c>
      <c r="H85" s="1">
        <v>0.33905000000000002</v>
      </c>
      <c r="I85" s="1">
        <v>4.1454000000000004</v>
      </c>
      <c r="J85" s="1">
        <v>4.1821999999999999</v>
      </c>
      <c r="K85" s="1">
        <v>1491.2</v>
      </c>
      <c r="L85" s="1">
        <v>-0.22281999999999999</v>
      </c>
      <c r="M85" s="1">
        <v>9.3212999999999998E-4</v>
      </c>
      <c r="N85" s="1">
        <v>0.60319</v>
      </c>
      <c r="O85" s="1" t="s">
        <v>52</v>
      </c>
    </row>
    <row r="86" spans="2:15">
      <c r="B86" s="1">
        <v>23.1</v>
      </c>
      <c r="C86" s="1">
        <v>0.10131999999999999</v>
      </c>
      <c r="D86" s="1">
        <v>997.52</v>
      </c>
      <c r="E86" s="1">
        <v>1.0024999999999999E-3</v>
      </c>
      <c r="F86" s="1">
        <v>96.873000000000005</v>
      </c>
      <c r="G86" s="1">
        <v>96.974999999999994</v>
      </c>
      <c r="H86" s="1">
        <v>0.34046999999999999</v>
      </c>
      <c r="I86" s="1">
        <v>4.1449999999999996</v>
      </c>
      <c r="J86" s="1">
        <v>4.1821999999999999</v>
      </c>
      <c r="K86" s="1">
        <v>1491.5</v>
      </c>
      <c r="L86" s="1">
        <v>-0.22276000000000001</v>
      </c>
      <c r="M86" s="1">
        <v>9.2993999999999998E-4</v>
      </c>
      <c r="N86" s="1">
        <v>0.60336000000000001</v>
      </c>
      <c r="O86" s="1" t="s">
        <v>52</v>
      </c>
    </row>
    <row r="87" spans="2:15">
      <c r="B87" s="1">
        <v>23.2</v>
      </c>
      <c r="C87" s="1">
        <v>0.10131999999999999</v>
      </c>
      <c r="D87" s="1">
        <v>997.49</v>
      </c>
      <c r="E87" s="1">
        <v>1.0024999999999999E-3</v>
      </c>
      <c r="F87" s="1">
        <v>97.290999999999997</v>
      </c>
      <c r="G87" s="1">
        <v>97.393000000000001</v>
      </c>
      <c r="H87" s="1">
        <v>0.34188000000000002</v>
      </c>
      <c r="I87" s="1">
        <v>4.1445999999999996</v>
      </c>
      <c r="J87" s="1">
        <v>4.1821000000000002</v>
      </c>
      <c r="K87" s="1">
        <v>1491.8</v>
      </c>
      <c r="L87" s="1">
        <v>-0.22269</v>
      </c>
      <c r="M87" s="1">
        <v>9.2776999999999996E-4</v>
      </c>
      <c r="N87" s="1">
        <v>0.60353000000000001</v>
      </c>
      <c r="O87" s="1" t="s">
        <v>52</v>
      </c>
    </row>
    <row r="88" spans="2:15">
      <c r="B88" s="1">
        <v>23.3</v>
      </c>
      <c r="C88" s="1">
        <v>0.10131999999999999</v>
      </c>
      <c r="D88" s="1">
        <v>997.47</v>
      </c>
      <c r="E88" s="1">
        <v>1.0024999999999999E-3</v>
      </c>
      <c r="F88" s="1">
        <v>97.71</v>
      </c>
      <c r="G88" s="1">
        <v>97.811000000000007</v>
      </c>
      <c r="H88" s="1">
        <v>0.34328999999999998</v>
      </c>
      <c r="I88" s="1">
        <v>4.1441999999999997</v>
      </c>
      <c r="J88" s="1">
        <v>4.1821000000000002</v>
      </c>
      <c r="K88" s="1">
        <v>1492</v>
      </c>
      <c r="L88" s="1">
        <v>-0.22262000000000001</v>
      </c>
      <c r="M88" s="1">
        <v>9.2561E-4</v>
      </c>
      <c r="N88" s="1">
        <v>0.60370000000000001</v>
      </c>
      <c r="O88" s="1" t="s">
        <v>52</v>
      </c>
    </row>
    <row r="89" spans="2:15">
      <c r="B89" s="1">
        <v>23.4</v>
      </c>
      <c r="C89" s="1">
        <v>0.10131999999999999</v>
      </c>
      <c r="D89" s="1">
        <v>997.45</v>
      </c>
      <c r="E89" s="1">
        <v>1.0026E-3</v>
      </c>
      <c r="F89" s="1">
        <v>98.128</v>
      </c>
      <c r="G89" s="1">
        <v>98.228999999999999</v>
      </c>
      <c r="H89" s="1">
        <v>0.34470000000000001</v>
      </c>
      <c r="I89" s="1">
        <v>4.1437999999999997</v>
      </c>
      <c r="J89" s="1">
        <v>4.1820000000000004</v>
      </c>
      <c r="K89" s="1">
        <v>1492.3</v>
      </c>
      <c r="L89" s="1">
        <v>-0.22255</v>
      </c>
      <c r="M89" s="1">
        <v>9.2345000000000003E-4</v>
      </c>
      <c r="N89" s="1">
        <v>0.60387000000000002</v>
      </c>
      <c r="O89" s="1" t="s">
        <v>52</v>
      </c>
    </row>
    <row r="90" spans="2:15">
      <c r="B90" s="1">
        <v>23.5</v>
      </c>
      <c r="C90" s="1">
        <v>0.10131999999999999</v>
      </c>
      <c r="D90" s="1">
        <v>997.42</v>
      </c>
      <c r="E90" s="1">
        <v>1.0026E-3</v>
      </c>
      <c r="F90" s="1">
        <v>98.546000000000006</v>
      </c>
      <c r="G90" s="1">
        <v>98.647999999999996</v>
      </c>
      <c r="H90" s="1">
        <v>0.34610999999999997</v>
      </c>
      <c r="I90" s="1">
        <v>4.1433999999999997</v>
      </c>
      <c r="J90" s="1">
        <v>4.1820000000000004</v>
      </c>
      <c r="K90" s="1">
        <v>1492.6</v>
      </c>
      <c r="L90" s="1">
        <v>-0.22248000000000001</v>
      </c>
      <c r="M90" s="1">
        <v>9.2130000000000001E-4</v>
      </c>
      <c r="N90" s="1">
        <v>0.60402999999999996</v>
      </c>
      <c r="O90" s="1" t="s">
        <v>52</v>
      </c>
    </row>
    <row r="91" spans="2:15">
      <c r="B91" s="1">
        <v>23.6</v>
      </c>
      <c r="C91" s="1">
        <v>0.10131999999999999</v>
      </c>
      <c r="D91" s="1">
        <v>997.4</v>
      </c>
      <c r="E91" s="1">
        <v>1.0026E-3</v>
      </c>
      <c r="F91" s="1">
        <v>98.963999999999999</v>
      </c>
      <c r="G91" s="1">
        <v>99.066000000000003</v>
      </c>
      <c r="H91" s="1">
        <v>0.34752</v>
      </c>
      <c r="I91" s="1">
        <v>4.1429999999999998</v>
      </c>
      <c r="J91" s="1">
        <v>4.1818999999999997</v>
      </c>
      <c r="K91" s="1">
        <v>1492.9</v>
      </c>
      <c r="L91" s="1">
        <v>-0.22241</v>
      </c>
      <c r="M91" s="1">
        <v>9.1916000000000003E-4</v>
      </c>
      <c r="N91" s="1">
        <v>0.60419999999999996</v>
      </c>
      <c r="O91" s="1" t="s">
        <v>52</v>
      </c>
    </row>
    <row r="92" spans="2:15">
      <c r="B92" s="1">
        <v>23.7</v>
      </c>
      <c r="C92" s="1">
        <v>0.10131999999999999</v>
      </c>
      <c r="D92" s="1">
        <v>997.37</v>
      </c>
      <c r="E92" s="1">
        <v>1.0026E-3</v>
      </c>
      <c r="F92" s="1">
        <v>99.382000000000005</v>
      </c>
      <c r="G92" s="1">
        <v>99.483999999999995</v>
      </c>
      <c r="H92" s="1">
        <v>0.34893000000000002</v>
      </c>
      <c r="I92" s="1">
        <v>4.1426999999999996</v>
      </c>
      <c r="J92" s="1">
        <v>4.1818999999999997</v>
      </c>
      <c r="K92" s="1">
        <v>1493.2</v>
      </c>
      <c r="L92" s="1">
        <v>-0.22234999999999999</v>
      </c>
      <c r="M92" s="1">
        <v>9.1702999999999999E-4</v>
      </c>
      <c r="N92" s="1">
        <v>0.60436999999999996</v>
      </c>
      <c r="O92" s="1" t="s">
        <v>52</v>
      </c>
    </row>
    <row r="93" spans="2:15">
      <c r="B93" s="1">
        <v>23.8</v>
      </c>
      <c r="C93" s="1">
        <v>0.10131999999999999</v>
      </c>
      <c r="D93" s="1">
        <v>997.35</v>
      </c>
      <c r="E93" s="1">
        <v>1.0027E-3</v>
      </c>
      <c r="F93" s="1">
        <v>99.801000000000002</v>
      </c>
      <c r="G93" s="1">
        <v>99.902000000000001</v>
      </c>
      <c r="H93" s="1">
        <v>0.35033999999999998</v>
      </c>
      <c r="I93" s="1">
        <v>4.1422999999999996</v>
      </c>
      <c r="J93" s="1">
        <v>4.1818</v>
      </c>
      <c r="K93" s="1">
        <v>1493.4</v>
      </c>
      <c r="L93" s="1">
        <v>-0.22228000000000001</v>
      </c>
      <c r="M93" s="1">
        <v>9.1491000000000001E-4</v>
      </c>
      <c r="N93" s="1">
        <v>0.60453999999999997</v>
      </c>
      <c r="O93" s="1" t="s">
        <v>52</v>
      </c>
    </row>
    <row r="94" spans="2:15">
      <c r="B94" s="1">
        <v>23.9</v>
      </c>
      <c r="C94" s="1">
        <v>0.10131999999999999</v>
      </c>
      <c r="D94" s="1">
        <v>997.32</v>
      </c>
      <c r="E94" s="1">
        <v>1.0027E-3</v>
      </c>
      <c r="F94" s="1">
        <v>100.22</v>
      </c>
      <c r="G94" s="1">
        <v>100.32</v>
      </c>
      <c r="H94" s="1">
        <v>0.35174</v>
      </c>
      <c r="I94" s="1">
        <v>4.1418999999999997</v>
      </c>
      <c r="J94" s="1">
        <v>4.1818</v>
      </c>
      <c r="K94" s="1">
        <v>1493.7</v>
      </c>
      <c r="L94" s="1">
        <v>-0.22220999999999999</v>
      </c>
      <c r="M94" s="1">
        <v>9.1279000000000002E-4</v>
      </c>
      <c r="N94" s="1">
        <v>0.60470000000000002</v>
      </c>
      <c r="O94" s="1" t="s">
        <v>52</v>
      </c>
    </row>
    <row r="95" spans="2:15">
      <c r="B95" s="1">
        <v>24</v>
      </c>
      <c r="C95" s="1">
        <v>0.10131999999999999</v>
      </c>
      <c r="D95" s="1">
        <v>997.3</v>
      </c>
      <c r="E95" s="1">
        <v>1.0027E-3</v>
      </c>
      <c r="F95" s="1">
        <v>100.64</v>
      </c>
      <c r="G95" s="1">
        <v>100.74</v>
      </c>
      <c r="H95" s="1">
        <v>0.35315000000000002</v>
      </c>
      <c r="I95" s="1">
        <v>4.1414999999999997</v>
      </c>
      <c r="J95" s="1">
        <v>4.1818</v>
      </c>
      <c r="K95" s="1">
        <v>1494</v>
      </c>
      <c r="L95" s="1">
        <v>-0.22214</v>
      </c>
      <c r="M95" s="1">
        <v>9.1067999999999997E-4</v>
      </c>
      <c r="N95" s="1">
        <v>0.60487000000000002</v>
      </c>
      <c r="O95" s="1" t="s">
        <v>52</v>
      </c>
    </row>
    <row r="96" spans="2:15">
      <c r="B96" s="1">
        <v>24.1</v>
      </c>
      <c r="C96" s="1">
        <v>0.10131999999999999</v>
      </c>
      <c r="D96" s="1">
        <v>997.27</v>
      </c>
      <c r="E96" s="1">
        <v>1.0027E-3</v>
      </c>
      <c r="F96" s="1">
        <v>101.06</v>
      </c>
      <c r="G96" s="1">
        <v>101.16</v>
      </c>
      <c r="H96" s="1">
        <v>0.35455999999999999</v>
      </c>
      <c r="I96" s="1">
        <v>4.1410999999999998</v>
      </c>
      <c r="J96" s="1">
        <v>4.1817000000000002</v>
      </c>
      <c r="K96" s="1">
        <v>1494.3</v>
      </c>
      <c r="L96" s="1">
        <v>-0.22206999999999999</v>
      </c>
      <c r="M96" s="1">
        <v>9.0857999999999998E-4</v>
      </c>
      <c r="N96" s="1">
        <v>0.60502999999999996</v>
      </c>
      <c r="O96" s="1" t="s">
        <v>52</v>
      </c>
    </row>
    <row r="97" spans="2:15">
      <c r="B97" s="1">
        <v>24.2</v>
      </c>
      <c r="C97" s="1">
        <v>0.10131999999999999</v>
      </c>
      <c r="D97" s="1">
        <v>997.25</v>
      </c>
      <c r="E97" s="1">
        <v>1.0028000000000001E-3</v>
      </c>
      <c r="F97" s="1">
        <v>101.47</v>
      </c>
      <c r="G97" s="1">
        <v>101.57</v>
      </c>
      <c r="H97" s="1">
        <v>0.35596</v>
      </c>
      <c r="I97" s="1">
        <v>4.1406999999999998</v>
      </c>
      <c r="J97" s="1">
        <v>4.1817000000000002</v>
      </c>
      <c r="K97" s="1">
        <v>1494.5</v>
      </c>
      <c r="L97" s="1">
        <v>-0.22201000000000001</v>
      </c>
      <c r="M97" s="1">
        <v>9.0649000000000003E-4</v>
      </c>
      <c r="N97" s="1">
        <v>0.60519999999999996</v>
      </c>
      <c r="O97" s="1" t="s">
        <v>52</v>
      </c>
    </row>
    <row r="98" spans="2:15">
      <c r="B98" s="1">
        <v>24.3</v>
      </c>
      <c r="C98" s="1">
        <v>0.10131999999999999</v>
      </c>
      <c r="D98" s="1">
        <v>997.22</v>
      </c>
      <c r="E98" s="1">
        <v>1.0028000000000001E-3</v>
      </c>
      <c r="F98" s="1">
        <v>101.89</v>
      </c>
      <c r="G98" s="1">
        <v>101.99</v>
      </c>
      <c r="H98" s="1">
        <v>0.35737000000000002</v>
      </c>
      <c r="I98" s="1">
        <v>4.1402999999999999</v>
      </c>
      <c r="J98" s="1">
        <v>4.1816000000000004</v>
      </c>
      <c r="K98" s="1">
        <v>1494.8</v>
      </c>
      <c r="L98" s="1">
        <v>-0.22194</v>
      </c>
      <c r="M98" s="1">
        <v>9.0439999999999997E-4</v>
      </c>
      <c r="N98" s="1">
        <v>0.60536000000000001</v>
      </c>
      <c r="O98" s="1" t="s">
        <v>52</v>
      </c>
    </row>
    <row r="99" spans="2:15">
      <c r="B99" s="1">
        <v>24.4</v>
      </c>
      <c r="C99" s="1">
        <v>0.10131999999999999</v>
      </c>
      <c r="D99" s="1">
        <v>997.2</v>
      </c>
      <c r="E99" s="1">
        <v>1.0028000000000001E-3</v>
      </c>
      <c r="F99" s="1">
        <v>102.31</v>
      </c>
      <c r="G99" s="1">
        <v>102.41</v>
      </c>
      <c r="H99" s="1">
        <v>0.35877999999999999</v>
      </c>
      <c r="I99" s="1">
        <v>4.1398999999999999</v>
      </c>
      <c r="J99" s="1">
        <v>4.1816000000000004</v>
      </c>
      <c r="K99" s="1">
        <v>1495.1</v>
      </c>
      <c r="L99" s="1">
        <v>-0.22187000000000001</v>
      </c>
      <c r="M99" s="1">
        <v>9.0233000000000002E-4</v>
      </c>
      <c r="N99" s="1">
        <v>0.60553000000000001</v>
      </c>
      <c r="O99" s="1" t="s">
        <v>52</v>
      </c>
    </row>
    <row r="100" spans="2:15">
      <c r="B100" s="1">
        <v>24.5</v>
      </c>
      <c r="C100" s="1">
        <v>0.10131999999999999</v>
      </c>
      <c r="D100" s="1">
        <v>997.17</v>
      </c>
      <c r="E100" s="1">
        <v>1.0028000000000001E-3</v>
      </c>
      <c r="F100" s="1">
        <v>102.73</v>
      </c>
      <c r="G100" s="1">
        <v>102.83</v>
      </c>
      <c r="H100" s="1">
        <v>0.36018</v>
      </c>
      <c r="I100" s="1">
        <v>4.1395</v>
      </c>
      <c r="J100" s="1">
        <v>4.1814999999999998</v>
      </c>
      <c r="K100" s="1">
        <v>1495.4</v>
      </c>
      <c r="L100" s="1">
        <v>-0.2218</v>
      </c>
      <c r="M100" s="1">
        <v>9.0025999999999995E-4</v>
      </c>
      <c r="N100" s="1">
        <v>0.60570000000000002</v>
      </c>
      <c r="O100" s="1" t="s">
        <v>52</v>
      </c>
    </row>
    <row r="101" spans="2:15">
      <c r="B101" s="1">
        <v>24.6</v>
      </c>
      <c r="C101" s="1">
        <v>0.10131999999999999</v>
      </c>
      <c r="D101" s="1">
        <v>997.15</v>
      </c>
      <c r="E101" s="1">
        <v>1.0028999999999999E-3</v>
      </c>
      <c r="F101" s="1">
        <v>103.15</v>
      </c>
      <c r="G101" s="1">
        <v>103.25</v>
      </c>
      <c r="H101" s="1">
        <v>0.36159000000000002</v>
      </c>
      <c r="I101" s="1">
        <v>4.1391</v>
      </c>
      <c r="J101" s="1">
        <v>4.1814999999999998</v>
      </c>
      <c r="K101" s="1">
        <v>1495.6</v>
      </c>
      <c r="L101" s="1">
        <v>-0.22173999999999999</v>
      </c>
      <c r="M101" s="1">
        <v>8.9818999999999999E-4</v>
      </c>
      <c r="N101" s="1">
        <v>0.60585999999999995</v>
      </c>
      <c r="O101" s="1" t="s">
        <v>52</v>
      </c>
    </row>
    <row r="102" spans="2:15">
      <c r="B102" s="1">
        <v>24.7</v>
      </c>
      <c r="C102" s="1">
        <v>0.10131999999999999</v>
      </c>
      <c r="D102" s="1">
        <v>997.12</v>
      </c>
      <c r="E102" s="1">
        <v>1.0028999999999999E-3</v>
      </c>
      <c r="F102" s="1">
        <v>103.56</v>
      </c>
      <c r="G102" s="1">
        <v>103.67</v>
      </c>
      <c r="H102" s="1">
        <v>0.36298999999999998</v>
      </c>
      <c r="I102" s="1">
        <v>4.1387</v>
      </c>
      <c r="J102" s="1">
        <v>4.1814</v>
      </c>
      <c r="K102" s="1">
        <v>1495.9</v>
      </c>
      <c r="L102" s="1">
        <v>-0.22167000000000001</v>
      </c>
      <c r="M102" s="1">
        <v>8.9614000000000002E-4</v>
      </c>
      <c r="N102" s="1">
        <v>0.60602</v>
      </c>
      <c r="O102" s="1" t="s">
        <v>52</v>
      </c>
    </row>
    <row r="103" spans="2:15">
      <c r="B103" s="1">
        <v>24.8</v>
      </c>
      <c r="C103" s="1">
        <v>0.10131999999999999</v>
      </c>
      <c r="D103" s="1">
        <v>997.1</v>
      </c>
      <c r="E103" s="1">
        <v>1.0028999999999999E-3</v>
      </c>
      <c r="F103" s="1">
        <v>103.98</v>
      </c>
      <c r="G103" s="1">
        <v>104.08</v>
      </c>
      <c r="H103" s="1">
        <v>0.36438999999999999</v>
      </c>
      <c r="I103" s="1">
        <v>4.1383999999999999</v>
      </c>
      <c r="J103" s="1">
        <v>4.1814</v>
      </c>
      <c r="K103" s="1">
        <v>1496.2</v>
      </c>
      <c r="L103" s="1">
        <v>-0.22159999999999999</v>
      </c>
      <c r="M103" s="1">
        <v>8.9409000000000005E-4</v>
      </c>
      <c r="N103" s="1">
        <v>0.60619000000000001</v>
      </c>
      <c r="O103" s="1" t="s">
        <v>52</v>
      </c>
    </row>
    <row r="104" spans="2:15">
      <c r="B104" s="1">
        <v>24.9</v>
      </c>
      <c r="C104" s="1">
        <v>0.10131999999999999</v>
      </c>
      <c r="D104" s="1">
        <v>997.07</v>
      </c>
      <c r="E104" s="1">
        <v>1.0028999999999999E-3</v>
      </c>
      <c r="F104" s="1">
        <v>104.4</v>
      </c>
      <c r="G104" s="1">
        <v>104.5</v>
      </c>
      <c r="H104" s="1">
        <v>0.36580000000000001</v>
      </c>
      <c r="I104" s="1">
        <v>4.1379999999999999</v>
      </c>
      <c r="J104" s="1">
        <v>4.1814</v>
      </c>
      <c r="K104" s="1">
        <v>1496.4</v>
      </c>
      <c r="L104" s="1">
        <v>-0.22153</v>
      </c>
      <c r="M104" s="1">
        <v>8.9205000000000003E-4</v>
      </c>
      <c r="N104" s="1">
        <v>0.60634999999999994</v>
      </c>
      <c r="O104" s="1" t="s">
        <v>52</v>
      </c>
    </row>
    <row r="105" spans="2:15">
      <c r="B105" s="1">
        <v>25</v>
      </c>
      <c r="C105" s="1">
        <v>0.10131999999999999</v>
      </c>
      <c r="D105" s="1">
        <v>997.05</v>
      </c>
      <c r="E105" s="1">
        <v>1.003E-3</v>
      </c>
      <c r="F105" s="1">
        <v>104.82</v>
      </c>
      <c r="G105" s="1">
        <v>104.92</v>
      </c>
      <c r="H105" s="1">
        <v>0.36720000000000003</v>
      </c>
      <c r="I105" s="1">
        <v>4.1375999999999999</v>
      </c>
      <c r="J105" s="1">
        <v>4.1813000000000002</v>
      </c>
      <c r="K105" s="1">
        <v>1496.7</v>
      </c>
      <c r="L105" s="1">
        <v>-0.22147</v>
      </c>
      <c r="M105" s="1">
        <v>8.9002000000000005E-4</v>
      </c>
      <c r="N105" s="1">
        <v>0.60651999999999995</v>
      </c>
      <c r="O105" s="1" t="s">
        <v>52</v>
      </c>
    </row>
    <row r="106" spans="2:15">
      <c r="B106" s="1">
        <v>25.1</v>
      </c>
      <c r="C106" s="1">
        <v>0.10131999999999999</v>
      </c>
      <c r="D106" s="1">
        <v>997.02</v>
      </c>
      <c r="E106" s="1">
        <v>1.003E-3</v>
      </c>
      <c r="F106" s="1">
        <v>105.24</v>
      </c>
      <c r="G106" s="1">
        <v>105.34</v>
      </c>
      <c r="H106" s="1">
        <v>0.36859999999999998</v>
      </c>
      <c r="I106" s="1">
        <v>4.1372</v>
      </c>
      <c r="J106" s="1">
        <v>4.1813000000000002</v>
      </c>
      <c r="K106" s="1">
        <v>1497</v>
      </c>
      <c r="L106" s="1">
        <v>-0.22140000000000001</v>
      </c>
      <c r="M106" s="1">
        <v>8.8800000000000001E-4</v>
      </c>
      <c r="N106" s="1">
        <v>0.60668</v>
      </c>
      <c r="O106" s="1" t="s">
        <v>52</v>
      </c>
    </row>
    <row r="107" spans="2:15">
      <c r="B107" s="1">
        <v>25.2</v>
      </c>
      <c r="C107" s="1">
        <v>0.10131999999999999</v>
      </c>
      <c r="D107" s="1">
        <v>997</v>
      </c>
      <c r="E107" s="1">
        <v>1.003E-3</v>
      </c>
      <c r="F107" s="1">
        <v>105.65</v>
      </c>
      <c r="G107" s="1">
        <v>105.76</v>
      </c>
      <c r="H107" s="1">
        <v>0.37</v>
      </c>
      <c r="I107" s="1">
        <v>4.1368</v>
      </c>
      <c r="J107" s="1">
        <v>4.1811999999999996</v>
      </c>
      <c r="K107" s="1">
        <v>1497.2</v>
      </c>
      <c r="L107" s="1">
        <v>-0.22133</v>
      </c>
      <c r="M107" s="1">
        <v>8.8597999999999997E-4</v>
      </c>
      <c r="N107" s="1">
        <v>0.60684000000000005</v>
      </c>
      <c r="O107" s="1" t="s">
        <v>52</v>
      </c>
    </row>
    <row r="108" spans="2:15">
      <c r="B108" s="1">
        <v>25.3</v>
      </c>
      <c r="C108" s="1">
        <v>0.10131999999999999</v>
      </c>
      <c r="D108" s="1">
        <v>996.97</v>
      </c>
      <c r="E108" s="1">
        <v>1.003E-3</v>
      </c>
      <c r="F108" s="1">
        <v>106.07</v>
      </c>
      <c r="G108" s="1">
        <v>106.17</v>
      </c>
      <c r="H108" s="1">
        <v>0.37140000000000001</v>
      </c>
      <c r="I108" s="1">
        <v>4.1364000000000001</v>
      </c>
      <c r="J108" s="1">
        <v>4.1811999999999996</v>
      </c>
      <c r="K108" s="1">
        <v>1497.5</v>
      </c>
      <c r="L108" s="1">
        <v>-0.22126999999999999</v>
      </c>
      <c r="M108" s="1">
        <v>8.8396999999999998E-4</v>
      </c>
      <c r="N108" s="1">
        <v>0.60701000000000005</v>
      </c>
      <c r="O108" s="1" t="s">
        <v>52</v>
      </c>
    </row>
    <row r="109" spans="2:15">
      <c r="B109" s="1">
        <v>25.4</v>
      </c>
      <c r="C109" s="1">
        <v>0.10131999999999999</v>
      </c>
      <c r="D109" s="1">
        <v>996.94</v>
      </c>
      <c r="E109" s="1">
        <v>1.0031E-3</v>
      </c>
      <c r="F109" s="1">
        <v>106.49</v>
      </c>
      <c r="G109" s="1">
        <v>106.59</v>
      </c>
      <c r="H109" s="1">
        <v>0.37280999999999997</v>
      </c>
      <c r="I109" s="1">
        <v>4.1360000000000001</v>
      </c>
      <c r="J109" s="1">
        <v>4.1811999999999996</v>
      </c>
      <c r="K109" s="1">
        <v>1497.8</v>
      </c>
      <c r="L109" s="1">
        <v>-0.22120000000000001</v>
      </c>
      <c r="M109" s="1">
        <v>8.8197000000000004E-4</v>
      </c>
      <c r="N109" s="1">
        <v>0.60716999999999999</v>
      </c>
      <c r="O109" s="1" t="s">
        <v>52</v>
      </c>
    </row>
    <row r="110" spans="2:15">
      <c r="B110" s="1">
        <v>25.5</v>
      </c>
      <c r="C110" s="1">
        <v>0.10131999999999999</v>
      </c>
      <c r="D110" s="1">
        <v>996.92</v>
      </c>
      <c r="E110" s="1">
        <v>1.0031E-3</v>
      </c>
      <c r="F110" s="1">
        <v>106.91</v>
      </c>
      <c r="G110" s="1">
        <v>107.01</v>
      </c>
      <c r="H110" s="1">
        <v>0.37420999999999999</v>
      </c>
      <c r="I110" s="1">
        <v>4.1356000000000002</v>
      </c>
      <c r="J110" s="1">
        <v>4.1810999999999998</v>
      </c>
      <c r="K110" s="1">
        <v>1498</v>
      </c>
      <c r="L110" s="1">
        <v>-0.22112999999999999</v>
      </c>
      <c r="M110" s="1">
        <v>8.7996999999999999E-4</v>
      </c>
      <c r="N110" s="1">
        <v>0.60733000000000004</v>
      </c>
      <c r="O110" s="1" t="s">
        <v>52</v>
      </c>
    </row>
    <row r="111" spans="2:15">
      <c r="B111" s="1">
        <v>25.6</v>
      </c>
      <c r="C111" s="1">
        <v>0.10131999999999999</v>
      </c>
      <c r="D111" s="1">
        <v>996.89</v>
      </c>
      <c r="E111" s="1">
        <v>1.0031E-3</v>
      </c>
      <c r="F111" s="1">
        <v>107.33</v>
      </c>
      <c r="G111" s="1">
        <v>107.43</v>
      </c>
      <c r="H111" s="1">
        <v>0.37561</v>
      </c>
      <c r="I111" s="1">
        <v>4.1352000000000002</v>
      </c>
      <c r="J111" s="1">
        <v>4.1810999999999998</v>
      </c>
      <c r="K111" s="1">
        <v>1498.3</v>
      </c>
      <c r="L111" s="1">
        <v>-0.22106999999999999</v>
      </c>
      <c r="M111" s="1">
        <v>8.7799000000000004E-4</v>
      </c>
      <c r="N111" s="1">
        <v>0.60748999999999997</v>
      </c>
      <c r="O111" s="1" t="s">
        <v>52</v>
      </c>
    </row>
    <row r="112" spans="2:15">
      <c r="B112" s="1">
        <v>25.7</v>
      </c>
      <c r="C112" s="1">
        <v>0.10131999999999999</v>
      </c>
      <c r="D112" s="1">
        <v>996.87</v>
      </c>
      <c r="E112" s="1">
        <v>1.0031E-3</v>
      </c>
      <c r="F112" s="1">
        <v>107.75</v>
      </c>
      <c r="G112" s="1">
        <v>107.85</v>
      </c>
      <c r="H112" s="1">
        <v>0.377</v>
      </c>
      <c r="I112" s="1">
        <v>4.1348000000000003</v>
      </c>
      <c r="J112" s="1">
        <v>4.181</v>
      </c>
      <c r="K112" s="1">
        <v>1498.6</v>
      </c>
      <c r="L112" s="1">
        <v>-0.221</v>
      </c>
      <c r="M112" s="1">
        <v>8.7600999999999998E-4</v>
      </c>
      <c r="N112" s="1">
        <v>0.60765000000000002</v>
      </c>
      <c r="O112" s="1" t="s">
        <v>52</v>
      </c>
    </row>
    <row r="113" spans="2:15">
      <c r="B113" s="1">
        <v>25.8</v>
      </c>
      <c r="C113" s="1">
        <v>0.10131999999999999</v>
      </c>
      <c r="D113" s="1">
        <v>996.84</v>
      </c>
      <c r="E113" s="1">
        <v>1.0032000000000001E-3</v>
      </c>
      <c r="F113" s="1">
        <v>108.16</v>
      </c>
      <c r="G113" s="1">
        <v>108.27</v>
      </c>
      <c r="H113" s="1">
        <v>0.37840000000000001</v>
      </c>
      <c r="I113" s="1">
        <v>4.1344000000000003</v>
      </c>
      <c r="J113" s="1">
        <v>4.181</v>
      </c>
      <c r="K113" s="1">
        <v>1498.8</v>
      </c>
      <c r="L113" s="1">
        <v>-0.22092999999999999</v>
      </c>
      <c r="M113" s="1">
        <v>8.7403000000000003E-4</v>
      </c>
      <c r="N113" s="1">
        <v>0.60782000000000003</v>
      </c>
      <c r="O113" s="1" t="s">
        <v>52</v>
      </c>
    </row>
    <row r="114" spans="2:15">
      <c r="B114" s="1">
        <v>25.9</v>
      </c>
      <c r="C114" s="1">
        <v>0.10131999999999999</v>
      </c>
      <c r="D114" s="1">
        <v>996.81</v>
      </c>
      <c r="E114" s="1">
        <v>1.0032000000000001E-3</v>
      </c>
      <c r="F114" s="1">
        <v>108.58</v>
      </c>
      <c r="G114" s="1">
        <v>108.68</v>
      </c>
      <c r="H114" s="1">
        <v>0.37980000000000003</v>
      </c>
      <c r="I114" s="1">
        <v>4.1340000000000003</v>
      </c>
      <c r="J114" s="1">
        <v>4.181</v>
      </c>
      <c r="K114" s="1">
        <v>1499.1</v>
      </c>
      <c r="L114" s="1">
        <v>-0.22087000000000001</v>
      </c>
      <c r="M114" s="1">
        <v>8.7206999999999996E-4</v>
      </c>
      <c r="N114" s="1">
        <v>0.60797999999999996</v>
      </c>
      <c r="O114" s="1" t="s">
        <v>52</v>
      </c>
    </row>
    <row r="115" spans="2:15">
      <c r="B115" s="1">
        <v>26</v>
      </c>
      <c r="C115" s="1">
        <v>0.10131999999999999</v>
      </c>
      <c r="D115" s="1">
        <v>996.79</v>
      </c>
      <c r="E115" s="1">
        <v>1.0032000000000001E-3</v>
      </c>
      <c r="F115" s="1">
        <v>109</v>
      </c>
      <c r="G115" s="1">
        <v>109.1</v>
      </c>
      <c r="H115" s="1">
        <v>0.38119999999999998</v>
      </c>
      <c r="I115" s="1">
        <v>4.1336000000000004</v>
      </c>
      <c r="J115" s="1">
        <v>4.1809000000000003</v>
      </c>
      <c r="K115" s="1">
        <v>1499.3</v>
      </c>
      <c r="L115" s="1">
        <v>-0.2208</v>
      </c>
      <c r="M115" s="1">
        <v>8.7011E-4</v>
      </c>
      <c r="N115" s="1">
        <v>0.60814000000000001</v>
      </c>
      <c r="O115" s="1" t="s">
        <v>52</v>
      </c>
    </row>
    <row r="116" spans="2:15">
      <c r="B116" s="1">
        <v>26.1</v>
      </c>
      <c r="C116" s="1">
        <v>0.10131999999999999</v>
      </c>
      <c r="D116" s="1">
        <v>996.76</v>
      </c>
      <c r="E116" s="1">
        <v>1.0032999999999999E-3</v>
      </c>
      <c r="F116" s="1">
        <v>109.42</v>
      </c>
      <c r="G116" s="1">
        <v>109.52</v>
      </c>
      <c r="H116" s="1">
        <v>0.3826</v>
      </c>
      <c r="I116" s="1">
        <v>4.1332000000000004</v>
      </c>
      <c r="J116" s="1">
        <v>4.1809000000000003</v>
      </c>
      <c r="K116" s="1">
        <v>1499.6</v>
      </c>
      <c r="L116" s="1">
        <v>-0.22073000000000001</v>
      </c>
      <c r="M116" s="1">
        <v>8.6815999999999998E-4</v>
      </c>
      <c r="N116" s="1">
        <v>0.60829999999999995</v>
      </c>
      <c r="O116" s="1" t="s">
        <v>52</v>
      </c>
    </row>
    <row r="117" spans="2:15">
      <c r="B117" s="1">
        <v>26.2</v>
      </c>
      <c r="C117" s="1">
        <v>0.10131999999999999</v>
      </c>
      <c r="D117" s="1">
        <v>996.73</v>
      </c>
      <c r="E117" s="1">
        <v>1.0032999999999999E-3</v>
      </c>
      <c r="F117" s="1">
        <v>109.84</v>
      </c>
      <c r="G117" s="1">
        <v>109.94</v>
      </c>
      <c r="H117" s="1">
        <v>0.38399</v>
      </c>
      <c r="I117" s="1">
        <v>4.1327999999999996</v>
      </c>
      <c r="J117" s="1">
        <v>4.1809000000000003</v>
      </c>
      <c r="K117" s="1">
        <v>1499.9</v>
      </c>
      <c r="L117" s="1">
        <v>-0.22067000000000001</v>
      </c>
      <c r="M117" s="1">
        <v>8.6620999999999996E-4</v>
      </c>
      <c r="N117" s="1">
        <v>0.60846</v>
      </c>
      <c r="O117" s="1" t="s">
        <v>52</v>
      </c>
    </row>
    <row r="118" spans="2:15">
      <c r="B118" s="1">
        <v>26.3</v>
      </c>
      <c r="C118" s="1">
        <v>0.10131999999999999</v>
      </c>
      <c r="D118" s="1">
        <v>996.71</v>
      </c>
      <c r="E118" s="1">
        <v>1.0032999999999999E-3</v>
      </c>
      <c r="F118" s="1">
        <v>110.25</v>
      </c>
      <c r="G118" s="1">
        <v>110.36</v>
      </c>
      <c r="H118" s="1">
        <v>0.38539000000000001</v>
      </c>
      <c r="I118" s="1">
        <v>4.1323999999999996</v>
      </c>
      <c r="J118" s="1">
        <v>4.1807999999999996</v>
      </c>
      <c r="K118" s="1">
        <v>1500.1</v>
      </c>
      <c r="L118" s="1">
        <v>-0.22059999999999999</v>
      </c>
      <c r="M118" s="1">
        <v>8.6428000000000004E-4</v>
      </c>
      <c r="N118" s="1">
        <v>0.60862000000000005</v>
      </c>
      <c r="O118" s="1" t="s">
        <v>52</v>
      </c>
    </row>
    <row r="119" spans="2:15">
      <c r="B119" s="1">
        <v>26.4</v>
      </c>
      <c r="C119" s="1">
        <v>0.10131999999999999</v>
      </c>
      <c r="D119" s="1">
        <v>996.68</v>
      </c>
      <c r="E119" s="1">
        <v>1.0032999999999999E-3</v>
      </c>
      <c r="F119" s="1">
        <v>110.67</v>
      </c>
      <c r="G119" s="1">
        <v>110.77</v>
      </c>
      <c r="H119" s="1">
        <v>0.38679000000000002</v>
      </c>
      <c r="I119" s="1">
        <v>4.1319999999999997</v>
      </c>
      <c r="J119" s="1">
        <v>4.1807999999999996</v>
      </c>
      <c r="K119" s="1">
        <v>1500.4</v>
      </c>
      <c r="L119" s="1">
        <v>-0.22053</v>
      </c>
      <c r="M119" s="1">
        <v>8.6233999999999996E-4</v>
      </c>
      <c r="N119" s="1">
        <v>0.60877999999999999</v>
      </c>
      <c r="O119" s="1" t="s">
        <v>52</v>
      </c>
    </row>
    <row r="120" spans="2:15">
      <c r="B120" s="1">
        <v>26.5</v>
      </c>
      <c r="C120" s="1">
        <v>0.10131999999999999</v>
      </c>
      <c r="D120" s="1">
        <v>996.65</v>
      </c>
      <c r="E120" s="1">
        <v>1.0034E-3</v>
      </c>
      <c r="F120" s="1">
        <v>111.09</v>
      </c>
      <c r="G120" s="1">
        <v>111.19</v>
      </c>
      <c r="H120" s="1">
        <v>0.38818000000000003</v>
      </c>
      <c r="I120" s="1">
        <v>4.1315999999999997</v>
      </c>
      <c r="J120" s="1">
        <v>4.1807999999999996</v>
      </c>
      <c r="K120" s="1">
        <v>1500.6</v>
      </c>
      <c r="L120" s="1">
        <v>-0.22047</v>
      </c>
      <c r="M120" s="1">
        <v>8.6041999999999998E-4</v>
      </c>
      <c r="N120" s="1">
        <v>0.60894000000000004</v>
      </c>
      <c r="O120" s="1" t="s">
        <v>52</v>
      </c>
    </row>
    <row r="121" spans="2:15">
      <c r="B121" s="1">
        <v>26.6</v>
      </c>
      <c r="C121" s="1">
        <v>0.10131999999999999</v>
      </c>
      <c r="D121" s="1">
        <v>996.63</v>
      </c>
      <c r="E121" s="1">
        <v>1.0034E-3</v>
      </c>
      <c r="F121" s="1">
        <v>111.51</v>
      </c>
      <c r="G121" s="1">
        <v>111.61</v>
      </c>
      <c r="H121" s="1">
        <v>0.38957999999999998</v>
      </c>
      <c r="I121" s="1">
        <v>4.1311999999999998</v>
      </c>
      <c r="J121" s="1">
        <v>4.1806999999999999</v>
      </c>
      <c r="K121" s="1">
        <v>1500.9</v>
      </c>
      <c r="L121" s="1">
        <v>-0.22040000000000001</v>
      </c>
      <c r="M121" s="1">
        <v>8.585E-4</v>
      </c>
      <c r="N121" s="1">
        <v>0.60909999999999997</v>
      </c>
      <c r="O121" s="1" t="s">
        <v>52</v>
      </c>
    </row>
    <row r="122" spans="2:15">
      <c r="B122" s="1">
        <v>26.7</v>
      </c>
      <c r="C122" s="1">
        <v>0.10131999999999999</v>
      </c>
      <c r="D122" s="1">
        <v>996.6</v>
      </c>
      <c r="E122" s="1">
        <v>1.0034E-3</v>
      </c>
      <c r="F122" s="1">
        <v>111.93</v>
      </c>
      <c r="G122" s="1">
        <v>112.03</v>
      </c>
      <c r="H122" s="1">
        <v>0.39096999999999998</v>
      </c>
      <c r="I122" s="1">
        <v>4.1307999999999998</v>
      </c>
      <c r="J122" s="1">
        <v>4.1806999999999999</v>
      </c>
      <c r="K122" s="1">
        <v>1501.1</v>
      </c>
      <c r="L122" s="1">
        <v>-0.22034000000000001</v>
      </c>
      <c r="M122" s="1">
        <v>8.5658999999999996E-4</v>
      </c>
      <c r="N122" s="1">
        <v>0.60926000000000002</v>
      </c>
      <c r="O122" s="1" t="s">
        <v>52</v>
      </c>
    </row>
    <row r="123" spans="2:15">
      <c r="B123" s="1">
        <v>26.8</v>
      </c>
      <c r="C123" s="1">
        <v>0.10131999999999999</v>
      </c>
      <c r="D123" s="1">
        <v>996.57</v>
      </c>
      <c r="E123" s="1">
        <v>1.0034E-3</v>
      </c>
      <c r="F123" s="1">
        <v>112.34</v>
      </c>
      <c r="G123" s="1">
        <v>112.45</v>
      </c>
      <c r="H123" s="1">
        <v>0.39237</v>
      </c>
      <c r="I123" s="1">
        <v>4.1303999999999998</v>
      </c>
      <c r="J123" s="1">
        <v>4.1806999999999999</v>
      </c>
      <c r="K123" s="1">
        <v>1501.4</v>
      </c>
      <c r="L123" s="1">
        <v>-0.22026999999999999</v>
      </c>
      <c r="M123" s="1">
        <v>8.5468999999999996E-4</v>
      </c>
      <c r="N123" s="1">
        <v>0.60941999999999996</v>
      </c>
      <c r="O123" s="1" t="s">
        <v>52</v>
      </c>
    </row>
    <row r="124" spans="2:15">
      <c r="B124" s="1">
        <v>26.9</v>
      </c>
      <c r="C124" s="1">
        <v>0.10131999999999999</v>
      </c>
      <c r="D124" s="1">
        <v>996.54</v>
      </c>
      <c r="E124" s="1">
        <v>1.0035000000000001E-3</v>
      </c>
      <c r="F124" s="1">
        <v>112.76</v>
      </c>
      <c r="G124" s="1">
        <v>112.86</v>
      </c>
      <c r="H124" s="1">
        <v>0.39376</v>
      </c>
      <c r="I124" s="1">
        <v>4.13</v>
      </c>
      <c r="J124" s="1">
        <v>4.1806000000000001</v>
      </c>
      <c r="K124" s="1">
        <v>1501.6</v>
      </c>
      <c r="L124" s="1">
        <v>-0.22020000000000001</v>
      </c>
      <c r="M124" s="1">
        <v>8.5280000000000002E-4</v>
      </c>
      <c r="N124" s="1">
        <v>0.60958000000000001</v>
      </c>
      <c r="O124" s="1" t="s">
        <v>52</v>
      </c>
    </row>
    <row r="125" spans="2:15">
      <c r="B125" s="1">
        <v>27</v>
      </c>
      <c r="C125" s="1">
        <v>0.10131999999999999</v>
      </c>
      <c r="D125" s="1">
        <v>996.52</v>
      </c>
      <c r="E125" s="1">
        <v>1.0035000000000001E-3</v>
      </c>
      <c r="F125" s="1">
        <v>113.18</v>
      </c>
      <c r="G125" s="1">
        <v>113.28</v>
      </c>
      <c r="H125" s="1">
        <v>0.39515</v>
      </c>
      <c r="I125" s="1">
        <v>4.1295999999999999</v>
      </c>
      <c r="J125" s="1">
        <v>4.1806000000000001</v>
      </c>
      <c r="K125" s="1">
        <v>1501.9</v>
      </c>
      <c r="L125" s="1">
        <v>-0.22014</v>
      </c>
      <c r="M125" s="1">
        <v>8.5090999999999997E-4</v>
      </c>
      <c r="N125" s="1">
        <v>0.60973999999999995</v>
      </c>
      <c r="O125" s="1" t="s">
        <v>52</v>
      </c>
    </row>
    <row r="126" spans="2:15">
      <c r="B126" s="1">
        <v>27.1</v>
      </c>
      <c r="C126" s="1">
        <v>0.10131999999999999</v>
      </c>
      <c r="D126" s="1">
        <v>996.49</v>
      </c>
      <c r="E126" s="1">
        <v>1.0035000000000001E-3</v>
      </c>
      <c r="F126" s="1">
        <v>113.6</v>
      </c>
      <c r="G126" s="1">
        <v>113.7</v>
      </c>
      <c r="H126" s="1">
        <v>0.39654</v>
      </c>
      <c r="I126" s="1">
        <v>4.1292</v>
      </c>
      <c r="J126" s="1">
        <v>4.1806000000000001</v>
      </c>
      <c r="K126" s="1">
        <v>1502.2</v>
      </c>
      <c r="L126" s="1">
        <v>-0.22006999999999999</v>
      </c>
      <c r="M126" s="1">
        <v>8.4902000000000003E-4</v>
      </c>
      <c r="N126" s="1">
        <v>0.6099</v>
      </c>
      <c r="O126" s="1" t="s">
        <v>52</v>
      </c>
    </row>
    <row r="127" spans="2:15">
      <c r="B127" s="1">
        <v>27.2</v>
      </c>
      <c r="C127" s="1">
        <v>0.10131999999999999</v>
      </c>
      <c r="D127" s="1">
        <v>996.46</v>
      </c>
      <c r="E127" s="1">
        <v>1.0036000000000001E-3</v>
      </c>
      <c r="F127" s="1">
        <v>114.02</v>
      </c>
      <c r="G127" s="1">
        <v>114.12</v>
      </c>
      <c r="H127" s="1">
        <v>0.39794000000000002</v>
      </c>
      <c r="I127" s="1">
        <v>4.1288</v>
      </c>
      <c r="J127" s="1">
        <v>4.1805000000000003</v>
      </c>
      <c r="K127" s="1">
        <v>1502.4</v>
      </c>
      <c r="L127" s="1">
        <v>-0.22001000000000001</v>
      </c>
      <c r="M127" s="1">
        <v>8.4714999999999996E-4</v>
      </c>
      <c r="N127" s="1">
        <v>0.61004999999999998</v>
      </c>
      <c r="O127" s="1" t="s">
        <v>52</v>
      </c>
    </row>
    <row r="128" spans="2:15">
      <c r="B128" s="1">
        <v>27.3</v>
      </c>
      <c r="C128" s="1">
        <v>0.10131999999999999</v>
      </c>
      <c r="D128" s="1">
        <v>996.43</v>
      </c>
      <c r="E128" s="1">
        <v>1.0036000000000001E-3</v>
      </c>
      <c r="F128" s="1">
        <v>114.43</v>
      </c>
      <c r="G128" s="1">
        <v>114.54</v>
      </c>
      <c r="H128" s="1">
        <v>0.39933000000000002</v>
      </c>
      <c r="I128" s="1">
        <v>4.1284000000000001</v>
      </c>
      <c r="J128" s="1">
        <v>4.1805000000000003</v>
      </c>
      <c r="K128" s="1">
        <v>1502.7</v>
      </c>
      <c r="L128" s="1">
        <v>-0.21994</v>
      </c>
      <c r="M128" s="1">
        <v>8.4528000000000001E-4</v>
      </c>
      <c r="N128" s="1">
        <v>0.61021000000000003</v>
      </c>
      <c r="O128" s="1" t="s">
        <v>52</v>
      </c>
    </row>
    <row r="129" spans="2:15">
      <c r="B129" s="1">
        <v>27.4</v>
      </c>
      <c r="C129" s="1">
        <v>0.10131999999999999</v>
      </c>
      <c r="D129" s="1">
        <v>996.4</v>
      </c>
      <c r="E129" s="1">
        <v>1.0036000000000001E-3</v>
      </c>
      <c r="F129" s="1">
        <v>114.85</v>
      </c>
      <c r="G129" s="1">
        <v>114.95</v>
      </c>
      <c r="H129" s="1">
        <v>0.40072000000000002</v>
      </c>
      <c r="I129" s="1">
        <v>4.1279000000000003</v>
      </c>
      <c r="J129" s="1">
        <v>4.1805000000000003</v>
      </c>
      <c r="K129" s="1">
        <v>1502.9</v>
      </c>
      <c r="L129" s="1">
        <v>-0.21987000000000001</v>
      </c>
      <c r="M129" s="1">
        <v>8.4342E-4</v>
      </c>
      <c r="N129" s="1">
        <v>0.61036999999999997</v>
      </c>
      <c r="O129" s="1" t="s">
        <v>52</v>
      </c>
    </row>
    <row r="130" spans="2:15">
      <c r="B130" s="1">
        <v>27.5</v>
      </c>
      <c r="C130" s="1">
        <v>0.10131999999999999</v>
      </c>
      <c r="D130" s="1">
        <v>996.38</v>
      </c>
      <c r="E130" s="1">
        <v>1.0036000000000001E-3</v>
      </c>
      <c r="F130" s="1">
        <v>115.27</v>
      </c>
      <c r="G130" s="1">
        <v>115.37</v>
      </c>
      <c r="H130" s="1">
        <v>0.40211000000000002</v>
      </c>
      <c r="I130" s="1">
        <v>4.1275000000000004</v>
      </c>
      <c r="J130" s="1">
        <v>4.1803999999999997</v>
      </c>
      <c r="K130" s="1">
        <v>1503.2</v>
      </c>
      <c r="L130" s="1">
        <v>-0.21981000000000001</v>
      </c>
      <c r="M130" s="1">
        <v>8.4155999999999999E-4</v>
      </c>
      <c r="N130" s="1">
        <v>0.61053000000000002</v>
      </c>
      <c r="O130" s="1" t="s">
        <v>52</v>
      </c>
    </row>
    <row r="131" spans="2:15">
      <c r="B131" s="1">
        <v>27.6</v>
      </c>
      <c r="C131" s="1">
        <v>0.10131999999999999</v>
      </c>
      <c r="D131" s="1">
        <v>996.35</v>
      </c>
      <c r="E131" s="1">
        <v>1.0036999999999999E-3</v>
      </c>
      <c r="F131" s="1">
        <v>115.69</v>
      </c>
      <c r="G131" s="1">
        <v>115.79</v>
      </c>
      <c r="H131" s="1">
        <v>0.40350000000000003</v>
      </c>
      <c r="I131" s="1">
        <v>4.1271000000000004</v>
      </c>
      <c r="J131" s="1">
        <v>4.1803999999999997</v>
      </c>
      <c r="K131" s="1">
        <v>1503.4</v>
      </c>
      <c r="L131" s="1">
        <v>-0.21973999999999999</v>
      </c>
      <c r="M131" s="1">
        <v>8.3971000000000002E-4</v>
      </c>
      <c r="N131" s="1">
        <v>0.61068999999999996</v>
      </c>
      <c r="O131" s="1" t="s">
        <v>52</v>
      </c>
    </row>
    <row r="132" spans="2:15">
      <c r="B132" s="1">
        <v>27.7</v>
      </c>
      <c r="C132" s="1">
        <v>0.10131999999999999</v>
      </c>
      <c r="D132" s="1">
        <v>996.32</v>
      </c>
      <c r="E132" s="1">
        <v>1.0036999999999999E-3</v>
      </c>
      <c r="F132" s="1">
        <v>116.11</v>
      </c>
      <c r="G132" s="1">
        <v>116.21</v>
      </c>
      <c r="H132" s="1">
        <v>0.40489000000000003</v>
      </c>
      <c r="I132" s="1">
        <v>4.1266999999999996</v>
      </c>
      <c r="J132" s="1">
        <v>4.1803999999999997</v>
      </c>
      <c r="K132" s="1">
        <v>1503.7</v>
      </c>
      <c r="L132" s="1">
        <v>-0.21967999999999999</v>
      </c>
      <c r="M132" s="1">
        <v>8.3787E-4</v>
      </c>
      <c r="N132" s="1">
        <v>0.61084000000000005</v>
      </c>
      <c r="O132" s="1" t="s">
        <v>52</v>
      </c>
    </row>
    <row r="133" spans="2:15">
      <c r="B133" s="1">
        <v>27.8</v>
      </c>
      <c r="C133" s="1">
        <v>0.10131999999999999</v>
      </c>
      <c r="D133" s="1">
        <v>996.29</v>
      </c>
      <c r="E133" s="1">
        <v>1.0036999999999999E-3</v>
      </c>
      <c r="F133" s="1">
        <v>116.52</v>
      </c>
      <c r="G133" s="1">
        <v>116.63</v>
      </c>
      <c r="H133" s="1">
        <v>0.40627999999999997</v>
      </c>
      <c r="I133" s="1">
        <v>4.1262999999999996</v>
      </c>
      <c r="J133" s="1">
        <v>4.1802999999999999</v>
      </c>
      <c r="K133" s="1">
        <v>1503.9</v>
      </c>
      <c r="L133" s="1">
        <v>-0.21961</v>
      </c>
      <c r="M133" s="1">
        <v>8.3602999999999998E-4</v>
      </c>
      <c r="N133" s="1">
        <v>0.61099999999999999</v>
      </c>
      <c r="O133" s="1" t="s">
        <v>52</v>
      </c>
    </row>
    <row r="134" spans="2:15">
      <c r="B134" s="1">
        <v>27.9</v>
      </c>
      <c r="C134" s="1">
        <v>0.10131999999999999</v>
      </c>
      <c r="D134" s="1">
        <v>996.26</v>
      </c>
      <c r="E134" s="1">
        <v>1.0036999999999999E-3</v>
      </c>
      <c r="F134" s="1">
        <v>116.94</v>
      </c>
      <c r="G134" s="1">
        <v>117.04</v>
      </c>
      <c r="H134" s="1">
        <v>0.40766999999999998</v>
      </c>
      <c r="I134" s="1">
        <v>4.1258999999999997</v>
      </c>
      <c r="J134" s="1">
        <v>4.1802999999999999</v>
      </c>
      <c r="K134" s="1">
        <v>1504.1</v>
      </c>
      <c r="L134" s="1">
        <v>-0.21955</v>
      </c>
      <c r="M134" s="1">
        <v>8.342E-4</v>
      </c>
      <c r="N134" s="1">
        <v>0.61116000000000004</v>
      </c>
      <c r="O134" s="1" t="s">
        <v>52</v>
      </c>
    </row>
    <row r="135" spans="2:15">
      <c r="B135" s="1">
        <v>28</v>
      </c>
      <c r="C135" s="1">
        <v>0.10131999999999999</v>
      </c>
      <c r="D135" s="1">
        <v>996.24</v>
      </c>
      <c r="E135" s="1">
        <v>1.0038E-3</v>
      </c>
      <c r="F135" s="1">
        <v>117.36</v>
      </c>
      <c r="G135" s="1">
        <v>117.46</v>
      </c>
      <c r="H135" s="1">
        <v>0.40905999999999998</v>
      </c>
      <c r="I135" s="1">
        <v>4.1254999999999997</v>
      </c>
      <c r="J135" s="1">
        <v>4.1802999999999999</v>
      </c>
      <c r="K135" s="1">
        <v>1504.4</v>
      </c>
      <c r="L135" s="1">
        <v>-0.21948000000000001</v>
      </c>
      <c r="M135" s="1">
        <v>8.3237999999999997E-4</v>
      </c>
      <c r="N135" s="1">
        <v>0.61131000000000002</v>
      </c>
      <c r="O135" s="1" t="s">
        <v>52</v>
      </c>
    </row>
    <row r="136" spans="2:15">
      <c r="B136" s="1">
        <v>28.1</v>
      </c>
      <c r="C136" s="1">
        <v>0.10131999999999999</v>
      </c>
      <c r="D136" s="1">
        <v>996.21</v>
      </c>
      <c r="E136" s="1">
        <v>1.0038E-3</v>
      </c>
      <c r="F136" s="1">
        <v>117.78</v>
      </c>
      <c r="G136" s="1">
        <v>117.88</v>
      </c>
      <c r="H136" s="1">
        <v>0.41044000000000003</v>
      </c>
      <c r="I136" s="1">
        <v>4.1250999999999998</v>
      </c>
      <c r="J136" s="1">
        <v>4.1802999999999999</v>
      </c>
      <c r="K136" s="1">
        <v>1504.6</v>
      </c>
      <c r="L136" s="1">
        <v>-0.21942</v>
      </c>
      <c r="M136" s="1">
        <v>8.3056000000000004E-4</v>
      </c>
      <c r="N136" s="1">
        <v>0.61146999999999996</v>
      </c>
      <c r="O136" s="1" t="s">
        <v>52</v>
      </c>
    </row>
    <row r="137" spans="2:15">
      <c r="B137" s="1">
        <v>28.2</v>
      </c>
      <c r="C137" s="1">
        <v>0.10131999999999999</v>
      </c>
      <c r="D137" s="1">
        <v>996.18</v>
      </c>
      <c r="E137" s="1">
        <v>1.0038E-3</v>
      </c>
      <c r="F137" s="1">
        <v>118.2</v>
      </c>
      <c r="G137" s="1">
        <v>118.3</v>
      </c>
      <c r="H137" s="1">
        <v>0.41182999999999997</v>
      </c>
      <c r="I137" s="1">
        <v>4.1246999999999998</v>
      </c>
      <c r="J137" s="1">
        <v>4.1802000000000001</v>
      </c>
      <c r="K137" s="1">
        <v>1504.9</v>
      </c>
      <c r="L137" s="1">
        <v>-0.21934999999999999</v>
      </c>
      <c r="M137" s="1">
        <v>8.2874999999999995E-4</v>
      </c>
      <c r="N137" s="1">
        <v>0.61162000000000005</v>
      </c>
      <c r="O137" s="1" t="s">
        <v>52</v>
      </c>
    </row>
    <row r="138" spans="2:15">
      <c r="B138" s="1">
        <v>28.3</v>
      </c>
      <c r="C138" s="1">
        <v>0.10131999999999999</v>
      </c>
      <c r="D138" s="1">
        <v>996.15</v>
      </c>
      <c r="E138" s="1">
        <v>1.0039000000000001E-3</v>
      </c>
      <c r="F138" s="1">
        <v>118.61</v>
      </c>
      <c r="G138" s="1">
        <v>118.72</v>
      </c>
      <c r="H138" s="1">
        <v>0.41321999999999998</v>
      </c>
      <c r="I138" s="1">
        <v>4.1242999999999999</v>
      </c>
      <c r="J138" s="1">
        <v>4.1802000000000001</v>
      </c>
      <c r="K138" s="1">
        <v>1505.1</v>
      </c>
      <c r="L138" s="1">
        <v>-0.21929000000000001</v>
      </c>
      <c r="M138" s="1">
        <v>8.2695000000000002E-4</v>
      </c>
      <c r="N138" s="1">
        <v>0.61177999999999999</v>
      </c>
      <c r="O138" s="1" t="s">
        <v>52</v>
      </c>
    </row>
    <row r="139" spans="2:15">
      <c r="B139" s="1">
        <v>28.4</v>
      </c>
      <c r="C139" s="1">
        <v>0.10131999999999999</v>
      </c>
      <c r="D139" s="1">
        <v>996.12</v>
      </c>
      <c r="E139" s="1">
        <v>1.0039000000000001E-3</v>
      </c>
      <c r="F139" s="1">
        <v>119.03</v>
      </c>
      <c r="G139" s="1">
        <v>119.13</v>
      </c>
      <c r="H139" s="1">
        <v>0.41460999999999998</v>
      </c>
      <c r="I139" s="1">
        <v>4.1238999999999999</v>
      </c>
      <c r="J139" s="1">
        <v>4.1802000000000001</v>
      </c>
      <c r="K139" s="1">
        <v>1505.4</v>
      </c>
      <c r="L139" s="1">
        <v>-0.21922</v>
      </c>
      <c r="M139" s="1">
        <v>8.2514999999999997E-4</v>
      </c>
      <c r="N139" s="1">
        <v>0.61194000000000004</v>
      </c>
      <c r="O139" s="1" t="s">
        <v>52</v>
      </c>
    </row>
    <row r="140" spans="2:15">
      <c r="B140" s="1">
        <v>28.5</v>
      </c>
      <c r="C140" s="1">
        <v>0.10131999999999999</v>
      </c>
      <c r="D140" s="1">
        <v>996.09</v>
      </c>
      <c r="E140" s="1">
        <v>1.0039000000000001E-3</v>
      </c>
      <c r="F140" s="1">
        <v>119.45</v>
      </c>
      <c r="G140" s="1">
        <v>119.55</v>
      </c>
      <c r="H140" s="1">
        <v>0.41599000000000003</v>
      </c>
      <c r="I140" s="1">
        <v>4.1234000000000002</v>
      </c>
      <c r="J140" s="1">
        <v>4.1802000000000001</v>
      </c>
      <c r="K140" s="1">
        <v>1505.6</v>
      </c>
      <c r="L140" s="1">
        <v>-0.21915999999999999</v>
      </c>
      <c r="M140" s="1">
        <v>8.2335999999999998E-4</v>
      </c>
      <c r="N140" s="1">
        <v>0.61209000000000002</v>
      </c>
      <c r="O140" s="1" t="s">
        <v>52</v>
      </c>
    </row>
    <row r="141" spans="2:15">
      <c r="B141" s="1">
        <v>28.6</v>
      </c>
      <c r="C141" s="1">
        <v>0.10131999999999999</v>
      </c>
      <c r="D141" s="1">
        <v>996.06</v>
      </c>
      <c r="E141" s="1">
        <v>1.0039999999999999E-3</v>
      </c>
      <c r="F141" s="1">
        <v>119.87</v>
      </c>
      <c r="G141" s="1">
        <v>119.97</v>
      </c>
      <c r="H141" s="1">
        <v>0.41737999999999997</v>
      </c>
      <c r="I141" s="1">
        <v>4.1230000000000002</v>
      </c>
      <c r="J141" s="1">
        <v>4.1801000000000004</v>
      </c>
      <c r="K141" s="1">
        <v>1505.9</v>
      </c>
      <c r="L141" s="1">
        <v>-0.21909000000000001</v>
      </c>
      <c r="M141" s="1">
        <v>8.2156999999999998E-4</v>
      </c>
      <c r="N141" s="1">
        <v>0.61224999999999996</v>
      </c>
      <c r="O141" s="1" t="s">
        <v>52</v>
      </c>
    </row>
    <row r="142" spans="2:15">
      <c r="B142" s="1">
        <v>28.7</v>
      </c>
      <c r="C142" s="1">
        <v>0.10131999999999999</v>
      </c>
      <c r="D142" s="1">
        <v>996.03</v>
      </c>
      <c r="E142" s="1">
        <v>1.0039999999999999E-3</v>
      </c>
      <c r="F142" s="1">
        <v>120.29</v>
      </c>
      <c r="G142" s="1">
        <v>120.39</v>
      </c>
      <c r="H142" s="1">
        <v>0.41876000000000002</v>
      </c>
      <c r="I142" s="1">
        <v>4.1226000000000003</v>
      </c>
      <c r="J142" s="1">
        <v>4.1801000000000004</v>
      </c>
      <c r="K142" s="1">
        <v>1506.1</v>
      </c>
      <c r="L142" s="1">
        <v>-0.21903</v>
      </c>
      <c r="M142" s="1">
        <v>8.1979000000000004E-4</v>
      </c>
      <c r="N142" s="1">
        <v>0.61240000000000006</v>
      </c>
      <c r="O142" s="1" t="s">
        <v>52</v>
      </c>
    </row>
    <row r="143" spans="2:15">
      <c r="B143" s="1">
        <v>28.8</v>
      </c>
      <c r="C143" s="1">
        <v>0.10131999999999999</v>
      </c>
      <c r="D143" s="1">
        <v>996.01</v>
      </c>
      <c r="E143" s="1">
        <v>1.0039999999999999E-3</v>
      </c>
      <c r="F143" s="1">
        <v>120.7</v>
      </c>
      <c r="G143" s="1">
        <v>120.81</v>
      </c>
      <c r="H143" s="1">
        <v>0.42015000000000002</v>
      </c>
      <c r="I143" s="1">
        <v>4.1222000000000003</v>
      </c>
      <c r="J143" s="1">
        <v>4.1801000000000004</v>
      </c>
      <c r="K143" s="1">
        <v>1506.3</v>
      </c>
      <c r="L143" s="1">
        <v>-0.21895999999999999</v>
      </c>
      <c r="M143" s="1">
        <v>8.1802000000000003E-4</v>
      </c>
      <c r="N143" s="1">
        <v>0.61255999999999999</v>
      </c>
      <c r="O143" s="1" t="s">
        <v>52</v>
      </c>
    </row>
    <row r="144" spans="2:15">
      <c r="B144" s="1">
        <v>28.9</v>
      </c>
      <c r="C144" s="1">
        <v>0.10131999999999999</v>
      </c>
      <c r="D144" s="1">
        <v>995.98</v>
      </c>
      <c r="E144" s="1">
        <v>1.0039999999999999E-3</v>
      </c>
      <c r="F144" s="1">
        <v>121.12</v>
      </c>
      <c r="G144" s="1">
        <v>121.22</v>
      </c>
      <c r="H144" s="1">
        <v>0.42153000000000002</v>
      </c>
      <c r="I144" s="1">
        <v>4.1218000000000004</v>
      </c>
      <c r="J144" s="1">
        <v>4.1801000000000004</v>
      </c>
      <c r="K144" s="1">
        <v>1506.6</v>
      </c>
      <c r="L144" s="1">
        <v>-0.21890000000000001</v>
      </c>
      <c r="M144" s="1">
        <v>8.1625000000000003E-4</v>
      </c>
      <c r="N144" s="1">
        <v>0.61270999999999998</v>
      </c>
      <c r="O144" s="1" t="s">
        <v>52</v>
      </c>
    </row>
    <row r="145" spans="2:15">
      <c r="B145" s="1">
        <v>29</v>
      </c>
      <c r="C145" s="1">
        <v>0.10131999999999999</v>
      </c>
      <c r="D145" s="1">
        <v>995.95</v>
      </c>
      <c r="E145" s="1">
        <v>1.0041E-3</v>
      </c>
      <c r="F145" s="1">
        <v>121.54</v>
      </c>
      <c r="G145" s="1">
        <v>121.64</v>
      </c>
      <c r="H145" s="1">
        <v>0.42291000000000001</v>
      </c>
      <c r="I145" s="1">
        <v>4.1214000000000004</v>
      </c>
      <c r="J145" s="1">
        <v>4.18</v>
      </c>
      <c r="K145" s="1">
        <v>1506.8</v>
      </c>
      <c r="L145" s="1">
        <v>-0.21883</v>
      </c>
      <c r="M145" s="1">
        <v>8.1448999999999996E-4</v>
      </c>
      <c r="N145" s="1">
        <v>0.61285999999999996</v>
      </c>
      <c r="O145" s="1" t="s">
        <v>52</v>
      </c>
    </row>
    <row r="146" spans="2:15">
      <c r="B146" s="1">
        <v>29.1</v>
      </c>
      <c r="C146" s="1">
        <v>0.10131999999999999</v>
      </c>
      <c r="D146" s="1">
        <v>995.92</v>
      </c>
      <c r="E146" s="1">
        <v>1.0041E-3</v>
      </c>
      <c r="F146" s="1">
        <v>121.96</v>
      </c>
      <c r="G146" s="1">
        <v>122.06</v>
      </c>
      <c r="H146" s="1">
        <v>0.42430000000000001</v>
      </c>
      <c r="I146" s="1">
        <v>4.1210000000000004</v>
      </c>
      <c r="J146" s="1">
        <v>4.18</v>
      </c>
      <c r="K146" s="1">
        <v>1507</v>
      </c>
      <c r="L146" s="1">
        <v>-0.21876999999999999</v>
      </c>
      <c r="M146" s="1">
        <v>8.1273999999999995E-4</v>
      </c>
      <c r="N146" s="1">
        <v>0.61302000000000001</v>
      </c>
      <c r="O146" s="1" t="s">
        <v>52</v>
      </c>
    </row>
    <row r="147" spans="2:15">
      <c r="B147" s="1">
        <v>29.2</v>
      </c>
      <c r="C147" s="1">
        <v>0.10131999999999999</v>
      </c>
      <c r="D147" s="1">
        <v>995.89</v>
      </c>
      <c r="E147" s="1">
        <v>1.0041E-3</v>
      </c>
      <c r="F147" s="1">
        <v>122.38</v>
      </c>
      <c r="G147" s="1">
        <v>122.48</v>
      </c>
      <c r="H147" s="1">
        <v>0.42568</v>
      </c>
      <c r="I147" s="1">
        <v>4.1205999999999996</v>
      </c>
      <c r="J147" s="1">
        <v>4.18</v>
      </c>
      <c r="K147" s="1">
        <v>1507.3</v>
      </c>
      <c r="L147" s="1">
        <v>-0.21870000000000001</v>
      </c>
      <c r="M147" s="1">
        <v>8.1099000000000004E-4</v>
      </c>
      <c r="N147" s="1">
        <v>0.61316999999999999</v>
      </c>
      <c r="O147" s="1" t="s">
        <v>52</v>
      </c>
    </row>
    <row r="148" spans="2:15">
      <c r="B148" s="1">
        <v>29.3</v>
      </c>
      <c r="C148" s="1">
        <v>0.10131999999999999</v>
      </c>
      <c r="D148" s="1">
        <v>995.86</v>
      </c>
      <c r="E148" s="1">
        <v>1.0042E-3</v>
      </c>
      <c r="F148" s="1">
        <v>122.79</v>
      </c>
      <c r="G148" s="1">
        <v>122.9</v>
      </c>
      <c r="H148" s="1">
        <v>0.42706</v>
      </c>
      <c r="I148" s="1">
        <v>4.1200999999999999</v>
      </c>
      <c r="J148" s="1">
        <v>4.18</v>
      </c>
      <c r="K148" s="1">
        <v>1507.5</v>
      </c>
      <c r="L148" s="1">
        <v>-0.21864</v>
      </c>
      <c r="M148" s="1">
        <v>8.0924999999999997E-4</v>
      </c>
      <c r="N148" s="1">
        <v>0.61331999999999998</v>
      </c>
      <c r="O148" s="1" t="s">
        <v>52</v>
      </c>
    </row>
    <row r="149" spans="2:15">
      <c r="B149" s="1">
        <v>29.4</v>
      </c>
      <c r="C149" s="1">
        <v>0.10131999999999999</v>
      </c>
      <c r="D149" s="1">
        <v>995.83</v>
      </c>
      <c r="E149" s="1">
        <v>1.0042E-3</v>
      </c>
      <c r="F149" s="1">
        <v>123.21</v>
      </c>
      <c r="G149" s="1">
        <v>123.31</v>
      </c>
      <c r="H149" s="1">
        <v>0.42843999999999999</v>
      </c>
      <c r="I149" s="1">
        <v>4.1196999999999999</v>
      </c>
      <c r="J149" s="1">
        <v>4.1798999999999999</v>
      </c>
      <c r="K149" s="1">
        <v>1507.8</v>
      </c>
      <c r="L149" s="1">
        <v>-0.21858</v>
      </c>
      <c r="M149" s="1">
        <v>8.0751E-4</v>
      </c>
      <c r="N149" s="1">
        <v>0.61348000000000003</v>
      </c>
      <c r="O149" s="1" t="s">
        <v>52</v>
      </c>
    </row>
    <row r="150" spans="2:15">
      <c r="B150" s="1">
        <v>29.5</v>
      </c>
      <c r="C150" s="1">
        <v>0.10131999999999999</v>
      </c>
      <c r="D150" s="1">
        <v>995.8</v>
      </c>
      <c r="E150" s="1">
        <v>1.0042E-3</v>
      </c>
      <c r="F150" s="1">
        <v>123.63</v>
      </c>
      <c r="G150" s="1">
        <v>123.73</v>
      </c>
      <c r="H150" s="1">
        <v>0.42982999999999999</v>
      </c>
      <c r="I150" s="1">
        <v>4.1193</v>
      </c>
      <c r="J150" s="1">
        <v>4.1798999999999999</v>
      </c>
      <c r="K150" s="1">
        <v>1508</v>
      </c>
      <c r="L150" s="1">
        <v>-0.21851000000000001</v>
      </c>
      <c r="M150" s="1">
        <v>8.0577999999999997E-4</v>
      </c>
      <c r="N150" s="1">
        <v>0.61363000000000001</v>
      </c>
      <c r="O150" s="1" t="s">
        <v>52</v>
      </c>
    </row>
    <row r="151" spans="2:15">
      <c r="B151" s="1">
        <v>29.6</v>
      </c>
      <c r="C151" s="1">
        <v>0.10131999999999999</v>
      </c>
      <c r="D151" s="1">
        <v>995.77</v>
      </c>
      <c r="E151" s="1">
        <v>1.0042E-3</v>
      </c>
      <c r="F151" s="1">
        <v>124.05</v>
      </c>
      <c r="G151" s="1">
        <v>124.15</v>
      </c>
      <c r="H151" s="1">
        <v>0.43120999999999998</v>
      </c>
      <c r="I151" s="1">
        <v>4.1189</v>
      </c>
      <c r="J151" s="1">
        <v>4.1798999999999999</v>
      </c>
      <c r="K151" s="1">
        <v>1508.2</v>
      </c>
      <c r="L151" s="1">
        <v>-0.21845000000000001</v>
      </c>
      <c r="M151" s="1">
        <v>8.0406E-4</v>
      </c>
      <c r="N151" s="1">
        <v>0.61377999999999999</v>
      </c>
      <c r="O151" s="1" t="s">
        <v>52</v>
      </c>
    </row>
    <row r="152" spans="2:15">
      <c r="B152" s="1">
        <v>29.7</v>
      </c>
      <c r="C152" s="1">
        <v>0.10131999999999999</v>
      </c>
      <c r="D152" s="1">
        <v>995.74</v>
      </c>
      <c r="E152" s="1">
        <v>1.0043000000000001E-3</v>
      </c>
      <c r="F152" s="1">
        <v>124.47</v>
      </c>
      <c r="G152" s="1">
        <v>124.57</v>
      </c>
      <c r="H152" s="1">
        <v>0.43258999999999997</v>
      </c>
      <c r="I152" s="1">
        <v>4.1185</v>
      </c>
      <c r="J152" s="1">
        <v>4.1798999999999999</v>
      </c>
      <c r="K152" s="1">
        <v>1508.5</v>
      </c>
      <c r="L152" s="1">
        <v>-0.21837999999999999</v>
      </c>
      <c r="M152" s="1">
        <v>8.0234000000000002E-4</v>
      </c>
      <c r="N152" s="1">
        <v>0.61394000000000004</v>
      </c>
      <c r="O152" s="1" t="s">
        <v>52</v>
      </c>
    </row>
    <row r="153" spans="2:15">
      <c r="B153" s="1">
        <v>29.8</v>
      </c>
      <c r="C153" s="1">
        <v>0.10131999999999999</v>
      </c>
      <c r="D153" s="1">
        <v>995.71</v>
      </c>
      <c r="E153" s="1">
        <v>1.0043000000000001E-3</v>
      </c>
      <c r="F153" s="1">
        <v>124.88</v>
      </c>
      <c r="G153" s="1">
        <v>124.99</v>
      </c>
      <c r="H153" s="1">
        <v>0.43397000000000002</v>
      </c>
      <c r="I153" s="1">
        <v>4.1181000000000001</v>
      </c>
      <c r="J153" s="1">
        <v>4.1798999999999999</v>
      </c>
      <c r="K153" s="1">
        <v>1508.7</v>
      </c>
      <c r="L153" s="1">
        <v>-0.21831999999999999</v>
      </c>
      <c r="M153" s="1">
        <v>8.0062999999999998E-4</v>
      </c>
      <c r="N153" s="1">
        <v>0.61409000000000002</v>
      </c>
      <c r="O153" s="1" t="s">
        <v>52</v>
      </c>
    </row>
    <row r="154" spans="2:15">
      <c r="B154" s="1">
        <v>29.9</v>
      </c>
      <c r="C154" s="1">
        <v>0.10131999999999999</v>
      </c>
      <c r="D154" s="1">
        <v>995.68</v>
      </c>
      <c r="E154" s="1">
        <v>1.0043000000000001E-3</v>
      </c>
      <c r="F154" s="1">
        <v>125.3</v>
      </c>
      <c r="G154" s="1">
        <v>125.4</v>
      </c>
      <c r="H154" s="1">
        <v>0.43535000000000001</v>
      </c>
      <c r="I154" s="1">
        <v>4.1176000000000004</v>
      </c>
      <c r="J154" s="1">
        <v>4.1798000000000002</v>
      </c>
      <c r="K154" s="1">
        <v>1508.9</v>
      </c>
      <c r="L154" s="1">
        <v>-0.21826000000000001</v>
      </c>
      <c r="M154" s="1">
        <v>7.9891999999999995E-4</v>
      </c>
      <c r="N154" s="1">
        <v>0.61424000000000001</v>
      </c>
      <c r="O154" s="1" t="s">
        <v>52</v>
      </c>
    </row>
    <row r="155" spans="2:15">
      <c r="B155" s="1">
        <v>30</v>
      </c>
      <c r="C155" s="1">
        <v>0.10131999999999999</v>
      </c>
      <c r="D155" s="1">
        <v>995.65</v>
      </c>
      <c r="E155" s="1">
        <v>1.0043999999999999E-3</v>
      </c>
      <c r="F155" s="1">
        <v>125.72</v>
      </c>
      <c r="G155" s="1">
        <v>125.82</v>
      </c>
      <c r="H155" s="1">
        <v>0.43673000000000001</v>
      </c>
      <c r="I155" s="1">
        <v>4.1172000000000004</v>
      </c>
      <c r="J155" s="1">
        <v>4.1798000000000002</v>
      </c>
      <c r="K155" s="1">
        <v>1509.2</v>
      </c>
      <c r="L155" s="1">
        <v>-0.21819</v>
      </c>
      <c r="M155" s="1">
        <v>7.9721999999999996E-4</v>
      </c>
      <c r="N155" s="1">
        <v>0.61438999999999999</v>
      </c>
      <c r="O155" s="1" t="s">
        <v>52</v>
      </c>
    </row>
    <row r="156" spans="2:15">
      <c r="B156" s="1">
        <v>30.1</v>
      </c>
      <c r="C156" s="1">
        <v>0.10131999999999999</v>
      </c>
      <c r="D156" s="1">
        <v>995.62</v>
      </c>
      <c r="E156" s="1">
        <v>1.0043999999999999E-3</v>
      </c>
      <c r="F156" s="1">
        <v>126.14</v>
      </c>
      <c r="G156" s="1">
        <v>126.24</v>
      </c>
      <c r="H156" s="1">
        <v>0.43809999999999999</v>
      </c>
      <c r="I156" s="1">
        <v>4.1167999999999996</v>
      </c>
      <c r="J156" s="1">
        <v>4.1798000000000002</v>
      </c>
      <c r="K156" s="1">
        <v>1509.4</v>
      </c>
      <c r="L156" s="1">
        <v>-0.21812999999999999</v>
      </c>
      <c r="M156" s="1">
        <v>7.9553000000000002E-4</v>
      </c>
      <c r="N156" s="1">
        <v>0.61453999999999998</v>
      </c>
      <c r="O156" s="1" t="s">
        <v>52</v>
      </c>
    </row>
    <row r="157" spans="2:15">
      <c r="B157" s="1">
        <v>30.2</v>
      </c>
      <c r="C157" s="1">
        <v>0.10131999999999999</v>
      </c>
      <c r="D157" s="1">
        <v>995.59</v>
      </c>
      <c r="E157" s="1">
        <v>1.0043999999999999E-3</v>
      </c>
      <c r="F157" s="1">
        <v>126.56</v>
      </c>
      <c r="G157" s="1">
        <v>126.66</v>
      </c>
      <c r="H157" s="1">
        <v>0.43947999999999998</v>
      </c>
      <c r="I157" s="1">
        <v>4.1163999999999996</v>
      </c>
      <c r="J157" s="1">
        <v>4.1798000000000002</v>
      </c>
      <c r="K157" s="1">
        <v>1509.6</v>
      </c>
      <c r="L157" s="1">
        <v>-0.21806</v>
      </c>
      <c r="M157" s="1">
        <v>7.9383999999999998E-4</v>
      </c>
      <c r="N157" s="1">
        <v>0.61470000000000002</v>
      </c>
      <c r="O157" s="1" t="s">
        <v>52</v>
      </c>
    </row>
    <row r="158" spans="2:15">
      <c r="B158" s="1">
        <v>30.3</v>
      </c>
      <c r="C158" s="1">
        <v>0.10131999999999999</v>
      </c>
      <c r="D158" s="1">
        <v>995.56</v>
      </c>
      <c r="E158" s="1">
        <v>1.0045E-3</v>
      </c>
      <c r="F158" s="1">
        <v>126.97</v>
      </c>
      <c r="G158" s="1">
        <v>127.08</v>
      </c>
      <c r="H158" s="1">
        <v>0.44085999999999997</v>
      </c>
      <c r="I158" s="1">
        <v>4.1159999999999997</v>
      </c>
      <c r="J158" s="1">
        <v>4.1798000000000002</v>
      </c>
      <c r="K158" s="1">
        <v>1509.8</v>
      </c>
      <c r="L158" s="1">
        <v>-0.218</v>
      </c>
      <c r="M158" s="1">
        <v>7.9215999999999998E-4</v>
      </c>
      <c r="N158" s="1">
        <v>0.61485000000000001</v>
      </c>
      <c r="O158" s="1" t="s">
        <v>52</v>
      </c>
    </row>
    <row r="159" spans="2:15">
      <c r="B159" s="1">
        <v>30.4</v>
      </c>
      <c r="C159" s="1">
        <v>0.10131999999999999</v>
      </c>
      <c r="D159" s="1">
        <v>995.53</v>
      </c>
      <c r="E159" s="1">
        <v>1.0045E-3</v>
      </c>
      <c r="F159" s="1">
        <v>127.39</v>
      </c>
      <c r="G159" s="1">
        <v>127.49</v>
      </c>
      <c r="H159" s="1">
        <v>0.44224000000000002</v>
      </c>
      <c r="I159" s="1">
        <v>4.1154999999999999</v>
      </c>
      <c r="J159" s="1">
        <v>4.1797000000000004</v>
      </c>
      <c r="K159" s="1">
        <v>1510.1</v>
      </c>
      <c r="L159" s="1">
        <v>-0.21793999999999999</v>
      </c>
      <c r="M159" s="1">
        <v>7.9047999999999998E-4</v>
      </c>
      <c r="N159" s="1">
        <v>0.61499999999999999</v>
      </c>
      <c r="O159" s="1" t="s">
        <v>52</v>
      </c>
    </row>
    <row r="160" spans="2:15">
      <c r="B160" s="1">
        <v>30.5</v>
      </c>
      <c r="C160" s="1">
        <v>0.10131999999999999</v>
      </c>
      <c r="D160" s="1">
        <v>995.5</v>
      </c>
      <c r="E160" s="1">
        <v>1.0045E-3</v>
      </c>
      <c r="F160" s="1">
        <v>127.81</v>
      </c>
      <c r="G160" s="1">
        <v>127.91</v>
      </c>
      <c r="H160" s="1">
        <v>0.44361</v>
      </c>
      <c r="I160" s="1">
        <v>4.1151</v>
      </c>
      <c r="J160" s="1">
        <v>4.1797000000000004</v>
      </c>
      <c r="K160" s="1">
        <v>1510.3</v>
      </c>
      <c r="L160" s="1">
        <v>-0.21787000000000001</v>
      </c>
      <c r="M160" s="1">
        <v>7.8881000000000003E-4</v>
      </c>
      <c r="N160" s="1">
        <v>0.61514999999999997</v>
      </c>
      <c r="O160" s="1" t="s">
        <v>52</v>
      </c>
    </row>
    <row r="161" spans="2:15">
      <c r="B161" s="1">
        <v>30.6</v>
      </c>
      <c r="C161" s="1">
        <v>0.10131999999999999</v>
      </c>
      <c r="D161" s="1">
        <v>995.47</v>
      </c>
      <c r="E161" s="1">
        <v>1.0046E-3</v>
      </c>
      <c r="F161" s="1">
        <v>128.22999999999999</v>
      </c>
      <c r="G161" s="1">
        <v>128.33000000000001</v>
      </c>
      <c r="H161" s="1">
        <v>0.44499</v>
      </c>
      <c r="I161" s="1">
        <v>4.1147</v>
      </c>
      <c r="J161" s="1">
        <v>4.1797000000000004</v>
      </c>
      <c r="K161" s="1">
        <v>1510.5</v>
      </c>
      <c r="L161" s="1">
        <v>-0.21781</v>
      </c>
      <c r="M161" s="1">
        <v>7.8713999999999998E-4</v>
      </c>
      <c r="N161" s="1">
        <v>0.61529999999999996</v>
      </c>
      <c r="O161" s="1" t="s">
        <v>52</v>
      </c>
    </row>
    <row r="162" spans="2:15">
      <c r="B162" s="1">
        <v>30.7</v>
      </c>
      <c r="C162" s="1">
        <v>0.10131999999999999</v>
      </c>
      <c r="D162" s="1">
        <v>995.44</v>
      </c>
      <c r="E162" s="1">
        <v>1.0046E-3</v>
      </c>
      <c r="F162" s="1">
        <v>128.65</v>
      </c>
      <c r="G162" s="1">
        <v>128.75</v>
      </c>
      <c r="H162" s="1">
        <v>0.44636999999999999</v>
      </c>
      <c r="I162" s="1">
        <v>4.1143000000000001</v>
      </c>
      <c r="J162" s="1">
        <v>4.1797000000000004</v>
      </c>
      <c r="K162" s="1">
        <v>1510.8</v>
      </c>
      <c r="L162" s="1">
        <v>-0.21773999999999999</v>
      </c>
      <c r="M162" s="1">
        <v>7.8547999999999997E-4</v>
      </c>
      <c r="N162" s="1">
        <v>0.61545000000000005</v>
      </c>
      <c r="O162" s="1" t="s">
        <v>52</v>
      </c>
    </row>
    <row r="163" spans="2:15">
      <c r="B163" s="1">
        <v>30.8</v>
      </c>
      <c r="C163" s="1">
        <v>0.10131999999999999</v>
      </c>
      <c r="D163" s="1">
        <v>995.41</v>
      </c>
      <c r="E163" s="1">
        <v>1.0046E-3</v>
      </c>
      <c r="F163" s="1">
        <v>129.06</v>
      </c>
      <c r="G163" s="1">
        <v>129.16999999999999</v>
      </c>
      <c r="H163" s="1">
        <v>0.44774000000000003</v>
      </c>
      <c r="I163" s="1">
        <v>4.1139000000000001</v>
      </c>
      <c r="J163" s="1">
        <v>4.1797000000000004</v>
      </c>
      <c r="K163" s="1">
        <v>1511</v>
      </c>
      <c r="L163" s="1">
        <v>-0.21768000000000001</v>
      </c>
      <c r="M163" s="1">
        <v>7.8383000000000001E-4</v>
      </c>
      <c r="N163" s="1">
        <v>0.61560000000000004</v>
      </c>
      <c r="O163" s="1" t="s">
        <v>52</v>
      </c>
    </row>
    <row r="164" spans="2:15">
      <c r="B164" s="1">
        <v>30.9</v>
      </c>
      <c r="C164" s="1">
        <v>0.10131999999999999</v>
      </c>
      <c r="D164" s="1">
        <v>995.37</v>
      </c>
      <c r="E164" s="1">
        <v>1.0046E-3</v>
      </c>
      <c r="F164" s="1">
        <v>129.47999999999999</v>
      </c>
      <c r="G164" s="1">
        <v>129.58000000000001</v>
      </c>
      <c r="H164" s="1">
        <v>0.44912000000000002</v>
      </c>
      <c r="I164" s="1">
        <v>4.1134000000000004</v>
      </c>
      <c r="J164" s="1">
        <v>4.1797000000000004</v>
      </c>
      <c r="K164" s="1">
        <v>1511.2</v>
      </c>
      <c r="L164" s="1">
        <v>-0.21762000000000001</v>
      </c>
      <c r="M164" s="1">
        <v>7.8218000000000005E-4</v>
      </c>
      <c r="N164" s="1">
        <v>0.61575000000000002</v>
      </c>
      <c r="O164" s="1" t="s">
        <v>52</v>
      </c>
    </row>
    <row r="165" spans="2:15">
      <c r="B165" s="1">
        <v>31</v>
      </c>
      <c r="C165" s="1">
        <v>0.10131999999999999</v>
      </c>
      <c r="D165" s="1">
        <v>995.34</v>
      </c>
      <c r="E165" s="1">
        <v>1.0047000000000001E-3</v>
      </c>
      <c r="F165" s="1">
        <v>129.9</v>
      </c>
      <c r="G165" s="1">
        <v>130</v>
      </c>
      <c r="H165" s="1">
        <v>0.45049</v>
      </c>
      <c r="I165" s="1">
        <v>4.1130000000000004</v>
      </c>
      <c r="J165" s="1">
        <v>4.1795999999999998</v>
      </c>
      <c r="K165" s="1">
        <v>1511.4</v>
      </c>
      <c r="L165" s="1">
        <v>-0.21754999999999999</v>
      </c>
      <c r="M165" s="1">
        <v>7.8054000000000003E-4</v>
      </c>
      <c r="N165" s="1">
        <v>0.6159</v>
      </c>
      <c r="O165" s="1" t="s">
        <v>52</v>
      </c>
    </row>
    <row r="166" spans="2:15">
      <c r="B166" s="1">
        <v>31.1</v>
      </c>
      <c r="C166" s="1">
        <v>0.10131999999999999</v>
      </c>
      <c r="D166" s="1">
        <v>995.31</v>
      </c>
      <c r="E166" s="1">
        <v>1.0047000000000001E-3</v>
      </c>
      <c r="F166" s="1">
        <v>130.32</v>
      </c>
      <c r="G166" s="1">
        <v>130.41999999999999</v>
      </c>
      <c r="H166" s="1">
        <v>0.45185999999999998</v>
      </c>
      <c r="I166" s="1">
        <v>4.1125999999999996</v>
      </c>
      <c r="J166" s="1">
        <v>4.1795999999999998</v>
      </c>
      <c r="K166" s="1">
        <v>1511.7</v>
      </c>
      <c r="L166" s="1">
        <v>-0.21748999999999999</v>
      </c>
      <c r="M166" s="1">
        <v>7.7890000000000001E-4</v>
      </c>
      <c r="N166" s="1">
        <v>0.61604999999999999</v>
      </c>
      <c r="O166" s="1" t="s">
        <v>52</v>
      </c>
    </row>
    <row r="167" spans="2:15">
      <c r="B167" s="1">
        <v>31.2</v>
      </c>
      <c r="C167" s="1">
        <v>0.10131999999999999</v>
      </c>
      <c r="D167" s="1">
        <v>995.28</v>
      </c>
      <c r="E167" s="1">
        <v>1.0047000000000001E-3</v>
      </c>
      <c r="F167" s="1">
        <v>130.74</v>
      </c>
      <c r="G167" s="1">
        <v>130.84</v>
      </c>
      <c r="H167" s="1">
        <v>0.45323999999999998</v>
      </c>
      <c r="I167" s="1">
        <v>4.1121999999999996</v>
      </c>
      <c r="J167" s="1">
        <v>4.1795999999999998</v>
      </c>
      <c r="K167" s="1">
        <v>1511.9</v>
      </c>
      <c r="L167" s="1">
        <v>-0.21743000000000001</v>
      </c>
      <c r="M167" s="1">
        <v>7.7727000000000004E-4</v>
      </c>
      <c r="N167" s="1">
        <v>0.61619999999999997</v>
      </c>
      <c r="O167" s="1" t="s">
        <v>52</v>
      </c>
    </row>
    <row r="168" spans="2:15">
      <c r="B168" s="1">
        <v>31.3</v>
      </c>
      <c r="C168" s="1">
        <v>0.10131999999999999</v>
      </c>
      <c r="D168" s="1">
        <v>995.25</v>
      </c>
      <c r="E168" s="1">
        <v>1.0047999999999999E-3</v>
      </c>
      <c r="F168" s="1">
        <v>131.15</v>
      </c>
      <c r="G168" s="1">
        <v>131.26</v>
      </c>
      <c r="H168" s="1">
        <v>0.45461000000000001</v>
      </c>
      <c r="I168" s="1">
        <v>4.1117999999999997</v>
      </c>
      <c r="J168" s="1">
        <v>4.1795999999999998</v>
      </c>
      <c r="K168" s="1">
        <v>1512.1</v>
      </c>
      <c r="L168" s="1">
        <v>-0.21736</v>
      </c>
      <c r="M168" s="1">
        <v>7.7563999999999997E-4</v>
      </c>
      <c r="N168" s="1">
        <v>0.61634</v>
      </c>
      <c r="O168" s="1" t="s">
        <v>52</v>
      </c>
    </row>
    <row r="169" spans="2:15">
      <c r="B169" s="1">
        <v>31.4</v>
      </c>
      <c r="C169" s="1">
        <v>0.10131999999999999</v>
      </c>
      <c r="D169" s="1">
        <v>995.22</v>
      </c>
      <c r="E169" s="1">
        <v>1.0047999999999999E-3</v>
      </c>
      <c r="F169" s="1">
        <v>131.57</v>
      </c>
      <c r="G169" s="1">
        <v>131.66999999999999</v>
      </c>
      <c r="H169" s="1">
        <v>0.45598</v>
      </c>
      <c r="I169" s="1">
        <v>4.1113</v>
      </c>
      <c r="J169" s="1">
        <v>4.1795999999999998</v>
      </c>
      <c r="K169" s="1">
        <v>1512.3</v>
      </c>
      <c r="L169" s="1">
        <v>-0.21729999999999999</v>
      </c>
      <c r="M169" s="1">
        <v>7.7402000000000005E-4</v>
      </c>
      <c r="N169" s="1">
        <v>0.61648999999999998</v>
      </c>
      <c r="O169" s="1" t="s">
        <v>52</v>
      </c>
    </row>
    <row r="170" spans="2:15">
      <c r="B170" s="1">
        <v>31.5</v>
      </c>
      <c r="C170" s="1">
        <v>0.10131999999999999</v>
      </c>
      <c r="D170" s="1">
        <v>995.19</v>
      </c>
      <c r="E170" s="1">
        <v>1.0047999999999999E-3</v>
      </c>
      <c r="F170" s="1">
        <v>131.99</v>
      </c>
      <c r="G170" s="1">
        <v>132.09</v>
      </c>
      <c r="H170" s="1">
        <v>0.45735999999999999</v>
      </c>
      <c r="I170" s="1">
        <v>4.1109</v>
      </c>
      <c r="J170" s="1">
        <v>4.1795999999999998</v>
      </c>
      <c r="K170" s="1">
        <v>1512.5</v>
      </c>
      <c r="L170" s="1">
        <v>-0.21723999999999999</v>
      </c>
      <c r="M170" s="1">
        <v>7.7240000000000002E-4</v>
      </c>
      <c r="N170" s="1">
        <v>0.61663999999999997</v>
      </c>
      <c r="O170" s="1" t="s">
        <v>52</v>
      </c>
    </row>
    <row r="171" spans="2:15">
      <c r="B171" s="1">
        <v>31.6</v>
      </c>
      <c r="C171" s="1">
        <v>0.10131999999999999</v>
      </c>
      <c r="D171" s="1">
        <v>995.16</v>
      </c>
      <c r="E171" s="1">
        <v>1.0049E-3</v>
      </c>
      <c r="F171" s="1">
        <v>132.41</v>
      </c>
      <c r="G171" s="1">
        <v>132.51</v>
      </c>
      <c r="H171" s="1">
        <v>0.45873000000000003</v>
      </c>
      <c r="I171" s="1">
        <v>4.1105</v>
      </c>
      <c r="J171" s="1">
        <v>4.1795999999999998</v>
      </c>
      <c r="K171" s="1">
        <v>1512.8</v>
      </c>
      <c r="L171" s="1">
        <v>-0.21717</v>
      </c>
      <c r="M171" s="1">
        <v>7.7079000000000004E-4</v>
      </c>
      <c r="N171" s="1">
        <v>0.61678999999999995</v>
      </c>
      <c r="O171" s="1" t="s">
        <v>52</v>
      </c>
    </row>
    <row r="172" spans="2:15">
      <c r="B172" s="1">
        <v>31.7</v>
      </c>
      <c r="C172" s="1">
        <v>0.10131999999999999</v>
      </c>
      <c r="D172" s="1">
        <v>995.12</v>
      </c>
      <c r="E172" s="1">
        <v>1.0049E-3</v>
      </c>
      <c r="F172" s="1">
        <v>132.83000000000001</v>
      </c>
      <c r="G172" s="1">
        <v>132.93</v>
      </c>
      <c r="H172" s="1">
        <v>0.46010000000000001</v>
      </c>
      <c r="I172" s="1">
        <v>4.1101000000000001</v>
      </c>
      <c r="J172" s="1">
        <v>4.1795</v>
      </c>
      <c r="K172" s="1">
        <v>1513</v>
      </c>
      <c r="L172" s="1">
        <v>-0.21711</v>
      </c>
      <c r="M172" s="1">
        <v>7.6919E-4</v>
      </c>
      <c r="N172" s="1">
        <v>0.61694000000000004</v>
      </c>
      <c r="O172" s="1" t="s">
        <v>52</v>
      </c>
    </row>
    <row r="173" spans="2:15">
      <c r="B173" s="1">
        <v>31.8</v>
      </c>
      <c r="C173" s="1">
        <v>0.10131999999999999</v>
      </c>
      <c r="D173" s="1">
        <v>995.09</v>
      </c>
      <c r="E173" s="1">
        <v>1.0049E-3</v>
      </c>
      <c r="F173" s="1">
        <v>133.24</v>
      </c>
      <c r="G173" s="1">
        <v>133.35</v>
      </c>
      <c r="H173" s="1">
        <v>0.46146999999999999</v>
      </c>
      <c r="I173" s="1">
        <v>4.1096000000000004</v>
      </c>
      <c r="J173" s="1">
        <v>4.1795</v>
      </c>
      <c r="K173" s="1">
        <v>1513.2</v>
      </c>
      <c r="L173" s="1">
        <v>-0.21704999999999999</v>
      </c>
      <c r="M173" s="1">
        <v>7.6758999999999996E-4</v>
      </c>
      <c r="N173" s="1">
        <v>0.61709000000000003</v>
      </c>
      <c r="O173" s="1" t="s">
        <v>52</v>
      </c>
    </row>
    <row r="174" spans="2:15">
      <c r="B174" s="1">
        <v>31.9</v>
      </c>
      <c r="C174" s="1">
        <v>0.10131999999999999</v>
      </c>
      <c r="D174" s="1">
        <v>995.06</v>
      </c>
      <c r="E174" s="1">
        <v>1.005E-3</v>
      </c>
      <c r="F174" s="1">
        <v>133.66</v>
      </c>
      <c r="G174" s="1">
        <v>133.76</v>
      </c>
      <c r="H174" s="1">
        <v>0.46283999999999997</v>
      </c>
      <c r="I174" s="1">
        <v>4.1092000000000004</v>
      </c>
      <c r="J174" s="1">
        <v>4.1795</v>
      </c>
      <c r="K174" s="1">
        <v>1513.4</v>
      </c>
      <c r="L174" s="1">
        <v>-0.21698000000000001</v>
      </c>
      <c r="M174" s="1">
        <v>7.6599999999999997E-4</v>
      </c>
      <c r="N174" s="1">
        <v>0.61722999999999995</v>
      </c>
      <c r="O174" s="1" t="s">
        <v>52</v>
      </c>
    </row>
    <row r="175" spans="2:15">
      <c r="B175" s="1">
        <v>32</v>
      </c>
      <c r="C175" s="1">
        <v>0.10131999999999999</v>
      </c>
      <c r="D175" s="1">
        <v>995.03</v>
      </c>
      <c r="E175" s="1">
        <v>1.005E-3</v>
      </c>
      <c r="F175" s="1">
        <v>134.08000000000001</v>
      </c>
      <c r="G175" s="1">
        <v>134.18</v>
      </c>
      <c r="H175" s="1">
        <v>0.46421000000000001</v>
      </c>
      <c r="I175" s="1">
        <v>4.1087999999999996</v>
      </c>
      <c r="J175" s="1">
        <v>4.1795</v>
      </c>
      <c r="K175" s="1">
        <v>1513.6</v>
      </c>
      <c r="L175" s="1">
        <v>-0.21692</v>
      </c>
      <c r="M175" s="1">
        <v>7.6440999999999998E-4</v>
      </c>
      <c r="N175" s="1">
        <v>0.61738000000000004</v>
      </c>
      <c r="O175" s="1" t="s">
        <v>52</v>
      </c>
    </row>
    <row r="176" spans="2:15">
      <c r="B176" s="1">
        <v>32.1</v>
      </c>
      <c r="C176" s="1">
        <v>0.10131999999999999</v>
      </c>
      <c r="D176" s="1">
        <v>995</v>
      </c>
      <c r="E176" s="1">
        <v>1.005E-3</v>
      </c>
      <c r="F176" s="1">
        <v>134.5</v>
      </c>
      <c r="G176" s="1">
        <v>134.6</v>
      </c>
      <c r="H176" s="1">
        <v>0.46557999999999999</v>
      </c>
      <c r="I176" s="1">
        <v>4.1083999999999996</v>
      </c>
      <c r="J176" s="1">
        <v>4.1795</v>
      </c>
      <c r="K176" s="1">
        <v>1513.9</v>
      </c>
      <c r="L176" s="1">
        <v>-0.21686</v>
      </c>
      <c r="M176" s="1">
        <v>7.6281999999999999E-4</v>
      </c>
      <c r="N176" s="1">
        <v>0.61753000000000002</v>
      </c>
      <c r="O176" s="1" t="s">
        <v>52</v>
      </c>
    </row>
    <row r="177" spans="2:15">
      <c r="B177" s="1">
        <v>32.200000000000003</v>
      </c>
      <c r="C177" s="1">
        <v>0.10131999999999999</v>
      </c>
      <c r="D177" s="1">
        <v>994.96</v>
      </c>
      <c r="E177" s="1">
        <v>1.0051000000000001E-3</v>
      </c>
      <c r="F177" s="1">
        <v>134.91999999999999</v>
      </c>
      <c r="G177" s="1">
        <v>135.02000000000001</v>
      </c>
      <c r="H177" s="1">
        <v>0.46694999999999998</v>
      </c>
      <c r="I177" s="1">
        <v>4.1078999999999999</v>
      </c>
      <c r="J177" s="1">
        <v>4.1795</v>
      </c>
      <c r="K177" s="1">
        <v>1514.1</v>
      </c>
      <c r="L177" s="1">
        <v>-0.21679999999999999</v>
      </c>
      <c r="M177" s="1">
        <v>7.6124999999999999E-4</v>
      </c>
      <c r="N177" s="1">
        <v>0.61767000000000005</v>
      </c>
      <c r="O177" s="1" t="s">
        <v>52</v>
      </c>
    </row>
    <row r="178" spans="2:15">
      <c r="B178" s="1">
        <v>32.299999999999997</v>
      </c>
      <c r="C178" s="1">
        <v>0.10131999999999999</v>
      </c>
      <c r="D178" s="1">
        <v>994.93</v>
      </c>
      <c r="E178" s="1">
        <v>1.0051000000000001E-3</v>
      </c>
      <c r="F178" s="1">
        <v>135.33000000000001</v>
      </c>
      <c r="G178" s="1">
        <v>135.44</v>
      </c>
      <c r="H178" s="1">
        <v>0.46832000000000001</v>
      </c>
      <c r="I178" s="1">
        <v>4.1074999999999999</v>
      </c>
      <c r="J178" s="1">
        <v>4.1795</v>
      </c>
      <c r="K178" s="1">
        <v>1514.3</v>
      </c>
      <c r="L178" s="1">
        <v>-0.21673000000000001</v>
      </c>
      <c r="M178" s="1">
        <v>7.5967000000000005E-4</v>
      </c>
      <c r="N178" s="1">
        <v>0.61782000000000004</v>
      </c>
      <c r="O178" s="1" t="s">
        <v>52</v>
      </c>
    </row>
    <row r="179" spans="2:15">
      <c r="B179" s="1">
        <v>32.4</v>
      </c>
      <c r="C179" s="1">
        <v>0.10131999999999999</v>
      </c>
      <c r="D179" s="1">
        <v>994.9</v>
      </c>
      <c r="E179" s="1">
        <v>1.0051000000000001E-3</v>
      </c>
      <c r="F179" s="1">
        <v>135.75</v>
      </c>
      <c r="G179" s="1">
        <v>135.85</v>
      </c>
      <c r="H179" s="1">
        <v>0.46967999999999999</v>
      </c>
      <c r="I179" s="1">
        <v>4.1071</v>
      </c>
      <c r="J179" s="1">
        <v>4.1794000000000002</v>
      </c>
      <c r="K179" s="1">
        <v>1514.5</v>
      </c>
      <c r="L179" s="1">
        <v>-0.21667</v>
      </c>
      <c r="M179" s="1">
        <v>7.5810999999999999E-4</v>
      </c>
      <c r="N179" s="1">
        <v>0.61797000000000002</v>
      </c>
      <c r="O179" s="1" t="s">
        <v>52</v>
      </c>
    </row>
    <row r="180" spans="2:15">
      <c r="B180" s="1">
        <v>32.5</v>
      </c>
      <c r="C180" s="1">
        <v>0.10131999999999999</v>
      </c>
      <c r="D180" s="1">
        <v>994.87</v>
      </c>
      <c r="E180" s="1">
        <v>1.0051999999999999E-3</v>
      </c>
      <c r="F180" s="1">
        <v>136.16999999999999</v>
      </c>
      <c r="G180" s="1">
        <v>136.27000000000001</v>
      </c>
      <c r="H180" s="1">
        <v>0.47105000000000002</v>
      </c>
      <c r="I180" s="1">
        <v>4.1066000000000003</v>
      </c>
      <c r="J180" s="1">
        <v>4.1794000000000002</v>
      </c>
      <c r="K180" s="1">
        <v>1514.7</v>
      </c>
      <c r="L180" s="1">
        <v>-0.21661</v>
      </c>
      <c r="M180" s="1">
        <v>7.5653999999999999E-4</v>
      </c>
      <c r="N180" s="1">
        <v>0.61811000000000005</v>
      </c>
      <c r="O180" s="1" t="s">
        <v>52</v>
      </c>
    </row>
    <row r="181" spans="2:15">
      <c r="B181" s="1">
        <v>32.6</v>
      </c>
      <c r="C181" s="1">
        <v>0.10131999999999999</v>
      </c>
      <c r="D181" s="1">
        <v>994.84</v>
      </c>
      <c r="E181" s="1">
        <v>1.0051999999999999E-3</v>
      </c>
      <c r="F181" s="1">
        <v>136.59</v>
      </c>
      <c r="G181" s="1">
        <v>136.69</v>
      </c>
      <c r="H181" s="1">
        <v>0.47242000000000001</v>
      </c>
      <c r="I181" s="1">
        <v>4.1062000000000003</v>
      </c>
      <c r="J181" s="1">
        <v>4.1794000000000002</v>
      </c>
      <c r="K181" s="1">
        <v>1514.9</v>
      </c>
      <c r="L181" s="1">
        <v>-0.21654999999999999</v>
      </c>
      <c r="M181" s="1">
        <v>7.5498999999999998E-4</v>
      </c>
      <c r="N181" s="1">
        <v>0.61826000000000003</v>
      </c>
      <c r="O181" s="1" t="s">
        <v>52</v>
      </c>
    </row>
    <row r="182" spans="2:15">
      <c r="B182" s="1">
        <v>32.700000000000003</v>
      </c>
      <c r="C182" s="1">
        <v>0.10131999999999999</v>
      </c>
      <c r="D182" s="1">
        <v>994.8</v>
      </c>
      <c r="E182" s="1">
        <v>1.0051999999999999E-3</v>
      </c>
      <c r="F182" s="1">
        <v>137.01</v>
      </c>
      <c r="G182" s="1">
        <v>137.11000000000001</v>
      </c>
      <c r="H182" s="1">
        <v>0.47378999999999999</v>
      </c>
      <c r="I182" s="1">
        <v>4.1058000000000003</v>
      </c>
      <c r="J182" s="1">
        <v>4.1794000000000002</v>
      </c>
      <c r="K182" s="1">
        <v>1515.1</v>
      </c>
      <c r="L182" s="1">
        <v>-0.21648000000000001</v>
      </c>
      <c r="M182" s="1">
        <v>7.5343999999999997E-4</v>
      </c>
      <c r="N182" s="1">
        <v>0.61841000000000002</v>
      </c>
      <c r="O182" s="1" t="s">
        <v>52</v>
      </c>
    </row>
    <row r="183" spans="2:15">
      <c r="B183" s="1">
        <v>32.799999999999997</v>
      </c>
      <c r="C183" s="1">
        <v>0.10131999999999999</v>
      </c>
      <c r="D183" s="1">
        <v>994.77</v>
      </c>
      <c r="E183" s="1">
        <v>1.0053E-3</v>
      </c>
      <c r="F183" s="1">
        <v>137.41999999999999</v>
      </c>
      <c r="G183" s="1">
        <v>137.53</v>
      </c>
      <c r="H183" s="1">
        <v>0.47515000000000002</v>
      </c>
      <c r="I183" s="1">
        <v>4.1054000000000004</v>
      </c>
      <c r="J183" s="1">
        <v>4.1794000000000002</v>
      </c>
      <c r="K183" s="1">
        <v>1515.3</v>
      </c>
      <c r="L183" s="1">
        <v>-0.21642</v>
      </c>
      <c r="M183" s="1">
        <v>7.5188999999999996E-4</v>
      </c>
      <c r="N183" s="1">
        <v>0.61855000000000004</v>
      </c>
      <c r="O183" s="1" t="s">
        <v>52</v>
      </c>
    </row>
    <row r="184" spans="2:15">
      <c r="B184" s="1">
        <v>32.9</v>
      </c>
      <c r="C184" s="1">
        <v>0.10131999999999999</v>
      </c>
      <c r="D184" s="1">
        <v>994.74</v>
      </c>
      <c r="E184" s="1">
        <v>1.0053E-3</v>
      </c>
      <c r="F184" s="1">
        <v>137.84</v>
      </c>
      <c r="G184" s="1">
        <v>137.94</v>
      </c>
      <c r="H184" s="1">
        <v>0.47652</v>
      </c>
      <c r="I184" s="1">
        <v>4.1048999999999998</v>
      </c>
      <c r="J184" s="1">
        <v>4.1794000000000002</v>
      </c>
      <c r="K184" s="1">
        <v>1515.6</v>
      </c>
      <c r="L184" s="1">
        <v>-0.21636</v>
      </c>
      <c r="M184" s="1">
        <v>7.5035E-4</v>
      </c>
      <c r="N184" s="1">
        <v>0.61870000000000003</v>
      </c>
      <c r="O184" s="1" t="s">
        <v>52</v>
      </c>
    </row>
    <row r="185" spans="2:15">
      <c r="B185" s="1">
        <v>33</v>
      </c>
      <c r="C185" s="1">
        <v>0.10131999999999999</v>
      </c>
      <c r="D185" s="1">
        <v>994.7</v>
      </c>
      <c r="E185" s="1">
        <v>1.0053E-3</v>
      </c>
      <c r="F185" s="1">
        <v>138.26</v>
      </c>
      <c r="G185" s="1">
        <v>138.36000000000001</v>
      </c>
      <c r="H185" s="1">
        <v>0.47788000000000003</v>
      </c>
      <c r="I185" s="1">
        <v>4.1044999999999998</v>
      </c>
      <c r="J185" s="1">
        <v>4.1794000000000002</v>
      </c>
      <c r="K185" s="1">
        <v>1515.8</v>
      </c>
      <c r="L185" s="1">
        <v>-0.21629999999999999</v>
      </c>
      <c r="M185" s="1">
        <v>7.4881000000000004E-4</v>
      </c>
      <c r="N185" s="1">
        <v>0.61883999999999995</v>
      </c>
      <c r="O185" s="1" t="s">
        <v>52</v>
      </c>
    </row>
    <row r="186" spans="2:15">
      <c r="B186" s="1">
        <v>33.1</v>
      </c>
      <c r="C186" s="1">
        <v>0.10131999999999999</v>
      </c>
      <c r="D186" s="1">
        <v>994.67</v>
      </c>
      <c r="E186" s="1">
        <v>1.0054E-3</v>
      </c>
      <c r="F186" s="1">
        <v>138.68</v>
      </c>
      <c r="G186" s="1">
        <v>138.78</v>
      </c>
      <c r="H186" s="1">
        <v>0.47925000000000001</v>
      </c>
      <c r="I186" s="1">
        <v>4.1040999999999999</v>
      </c>
      <c r="J186" s="1">
        <v>4.1794000000000002</v>
      </c>
      <c r="K186" s="1">
        <v>1516</v>
      </c>
      <c r="L186" s="1">
        <v>-0.21623000000000001</v>
      </c>
      <c r="M186" s="1">
        <v>7.4728000000000001E-4</v>
      </c>
      <c r="N186" s="1">
        <v>0.61899000000000004</v>
      </c>
      <c r="O186" s="1" t="s">
        <v>52</v>
      </c>
    </row>
    <row r="187" spans="2:15">
      <c r="B187" s="1">
        <v>33.200000000000003</v>
      </c>
      <c r="C187" s="1">
        <v>0.10131999999999999</v>
      </c>
      <c r="D187" s="1">
        <v>994.64</v>
      </c>
      <c r="E187" s="1">
        <v>1.0054E-3</v>
      </c>
      <c r="F187" s="1">
        <v>139.1</v>
      </c>
      <c r="G187" s="1">
        <v>139.19999999999999</v>
      </c>
      <c r="H187" s="1">
        <v>0.48060999999999998</v>
      </c>
      <c r="I187" s="1">
        <v>4.1036000000000001</v>
      </c>
      <c r="J187" s="1">
        <v>4.1794000000000002</v>
      </c>
      <c r="K187" s="1">
        <v>1516.2</v>
      </c>
      <c r="L187" s="1">
        <v>-0.21617</v>
      </c>
      <c r="M187" s="1">
        <v>7.4574999999999999E-4</v>
      </c>
      <c r="N187" s="1">
        <v>0.61912999999999996</v>
      </c>
      <c r="O187" s="1" t="s">
        <v>52</v>
      </c>
    </row>
    <row r="188" spans="2:15">
      <c r="B188" s="1">
        <v>33.299999999999997</v>
      </c>
      <c r="C188" s="1">
        <v>0.10131999999999999</v>
      </c>
      <c r="D188" s="1">
        <v>994.61</v>
      </c>
      <c r="E188" s="1">
        <v>1.0054E-3</v>
      </c>
      <c r="F188" s="1">
        <v>139.51</v>
      </c>
      <c r="G188" s="1">
        <v>139.62</v>
      </c>
      <c r="H188" s="1">
        <v>0.48198000000000002</v>
      </c>
      <c r="I188" s="1">
        <v>4.1032000000000002</v>
      </c>
      <c r="J188" s="1">
        <v>4.1794000000000002</v>
      </c>
      <c r="K188" s="1">
        <v>1516.4</v>
      </c>
      <c r="L188" s="1">
        <v>-0.21611</v>
      </c>
      <c r="M188" s="1">
        <v>7.4423000000000002E-4</v>
      </c>
      <c r="N188" s="1">
        <v>0.61928000000000005</v>
      </c>
      <c r="O188" s="1" t="s">
        <v>52</v>
      </c>
    </row>
    <row r="189" spans="2:15">
      <c r="B189" s="1">
        <v>33.4</v>
      </c>
      <c r="C189" s="1">
        <v>0.10131999999999999</v>
      </c>
      <c r="D189" s="1">
        <v>994.57</v>
      </c>
      <c r="E189" s="1">
        <v>1.0055000000000001E-3</v>
      </c>
      <c r="F189" s="1">
        <v>139.93</v>
      </c>
      <c r="G189" s="1">
        <v>140.03</v>
      </c>
      <c r="H189" s="1">
        <v>0.48333999999999999</v>
      </c>
      <c r="I189" s="1">
        <v>4.1028000000000002</v>
      </c>
      <c r="J189" s="1">
        <v>4.1794000000000002</v>
      </c>
      <c r="K189" s="1">
        <v>1516.6</v>
      </c>
      <c r="L189" s="1">
        <v>-0.21604999999999999</v>
      </c>
      <c r="M189" s="1">
        <v>7.4271999999999999E-4</v>
      </c>
      <c r="N189" s="1">
        <v>0.61941999999999997</v>
      </c>
      <c r="O189" s="1" t="s">
        <v>52</v>
      </c>
    </row>
    <row r="190" spans="2:15">
      <c r="B190" s="1">
        <v>33.5</v>
      </c>
      <c r="C190" s="1">
        <v>0.10131999999999999</v>
      </c>
      <c r="D190" s="1">
        <v>994.54</v>
      </c>
      <c r="E190" s="1">
        <v>1.0055000000000001E-3</v>
      </c>
      <c r="F190" s="1">
        <v>140.35</v>
      </c>
      <c r="G190" s="1">
        <v>140.44999999999999</v>
      </c>
      <c r="H190" s="1">
        <v>0.48470000000000002</v>
      </c>
      <c r="I190" s="1">
        <v>4.1022999999999996</v>
      </c>
      <c r="J190" s="1">
        <v>4.1792999999999996</v>
      </c>
      <c r="K190" s="1">
        <v>1516.8</v>
      </c>
      <c r="L190" s="1">
        <v>-0.21598000000000001</v>
      </c>
      <c r="M190" s="1">
        <v>7.4120999999999996E-4</v>
      </c>
      <c r="N190" s="1">
        <v>0.61956</v>
      </c>
      <c r="O190" s="1" t="s">
        <v>52</v>
      </c>
    </row>
    <row r="191" spans="2:15">
      <c r="B191" s="1">
        <v>33.6</v>
      </c>
      <c r="C191" s="1">
        <v>0.10131999999999999</v>
      </c>
      <c r="D191" s="1">
        <v>994.51</v>
      </c>
      <c r="E191" s="1">
        <v>1.0055000000000001E-3</v>
      </c>
      <c r="F191" s="1">
        <v>140.77000000000001</v>
      </c>
      <c r="G191" s="1">
        <v>140.87</v>
      </c>
      <c r="H191" s="1">
        <v>0.48607</v>
      </c>
      <c r="I191" s="1">
        <v>4.1018999999999997</v>
      </c>
      <c r="J191" s="1">
        <v>4.1792999999999996</v>
      </c>
      <c r="K191" s="1">
        <v>1517</v>
      </c>
      <c r="L191" s="1">
        <v>-0.21592</v>
      </c>
      <c r="M191" s="1">
        <v>7.3970000000000004E-4</v>
      </c>
      <c r="N191" s="1">
        <v>0.61970999999999998</v>
      </c>
      <c r="O191" s="1" t="s">
        <v>52</v>
      </c>
    </row>
    <row r="192" spans="2:15">
      <c r="B192" s="1">
        <v>33.700000000000003</v>
      </c>
      <c r="C192" s="1">
        <v>0.10131999999999999</v>
      </c>
      <c r="D192" s="1">
        <v>994.47</v>
      </c>
      <c r="E192" s="1">
        <v>1.0055999999999999E-3</v>
      </c>
      <c r="F192" s="1">
        <v>141.18</v>
      </c>
      <c r="G192" s="1">
        <v>141.29</v>
      </c>
      <c r="H192" s="1">
        <v>0.48742999999999997</v>
      </c>
      <c r="I192" s="1">
        <v>4.1014999999999997</v>
      </c>
      <c r="J192" s="1">
        <v>4.1792999999999996</v>
      </c>
      <c r="K192" s="1">
        <v>1517.2</v>
      </c>
      <c r="L192" s="1">
        <v>-0.21586</v>
      </c>
      <c r="M192" s="1">
        <v>7.3820000000000005E-4</v>
      </c>
      <c r="N192" s="1">
        <v>0.61985000000000001</v>
      </c>
      <c r="O192" s="1" t="s">
        <v>52</v>
      </c>
    </row>
    <row r="193" spans="2:15">
      <c r="B193" s="1">
        <v>33.799999999999997</v>
      </c>
      <c r="C193" s="1">
        <v>0.10131999999999999</v>
      </c>
      <c r="D193" s="1">
        <v>994.44</v>
      </c>
      <c r="E193" s="1">
        <v>1.0055999999999999E-3</v>
      </c>
      <c r="F193" s="1">
        <v>141.6</v>
      </c>
      <c r="G193" s="1">
        <v>141.69999999999999</v>
      </c>
      <c r="H193" s="1">
        <v>0.48879</v>
      </c>
      <c r="I193" s="1">
        <v>4.101</v>
      </c>
      <c r="J193" s="1">
        <v>4.1792999999999996</v>
      </c>
      <c r="K193" s="1">
        <v>1517.4</v>
      </c>
      <c r="L193" s="1">
        <v>-0.21579999999999999</v>
      </c>
      <c r="M193" s="1">
        <v>7.3669999999999996E-4</v>
      </c>
      <c r="N193" s="1">
        <v>0.62</v>
      </c>
      <c r="O193" s="1" t="s">
        <v>52</v>
      </c>
    </row>
    <row r="194" spans="2:15">
      <c r="B194" s="1">
        <v>33.9</v>
      </c>
      <c r="C194" s="1">
        <v>0.10131999999999999</v>
      </c>
      <c r="D194" s="1">
        <v>994.41</v>
      </c>
      <c r="E194" s="1">
        <v>1.0055999999999999E-3</v>
      </c>
      <c r="F194" s="1">
        <v>142.02000000000001</v>
      </c>
      <c r="G194" s="1">
        <v>142.12</v>
      </c>
      <c r="H194" s="1">
        <v>0.49014999999999997</v>
      </c>
      <c r="I194" s="1">
        <v>4.1006</v>
      </c>
      <c r="J194" s="1">
        <v>4.1792999999999996</v>
      </c>
      <c r="K194" s="1">
        <v>1517.6</v>
      </c>
      <c r="L194" s="1">
        <v>-0.21573999999999999</v>
      </c>
      <c r="M194" s="1">
        <v>7.3521000000000003E-4</v>
      </c>
      <c r="N194" s="1">
        <v>0.62014000000000002</v>
      </c>
      <c r="O194" s="1" t="s">
        <v>52</v>
      </c>
    </row>
    <row r="195" spans="2:15">
      <c r="B195" s="1">
        <v>34</v>
      </c>
      <c r="C195" s="1">
        <v>0.10131999999999999</v>
      </c>
      <c r="D195" s="1">
        <v>994.37</v>
      </c>
      <c r="E195" s="1">
        <v>1.0057E-3</v>
      </c>
      <c r="F195" s="1">
        <v>142.44</v>
      </c>
      <c r="G195" s="1">
        <v>142.54</v>
      </c>
      <c r="H195" s="1">
        <v>0.49151</v>
      </c>
      <c r="I195" s="1">
        <v>4.1002000000000001</v>
      </c>
      <c r="J195" s="1">
        <v>4.1792999999999996</v>
      </c>
      <c r="K195" s="1">
        <v>1517.8</v>
      </c>
      <c r="L195" s="1">
        <v>-0.21567</v>
      </c>
      <c r="M195" s="1">
        <v>7.3373000000000004E-4</v>
      </c>
      <c r="N195" s="1">
        <v>0.62028000000000005</v>
      </c>
      <c r="O195" s="1" t="s">
        <v>52</v>
      </c>
    </row>
    <row r="196" spans="2:15">
      <c r="B196" s="1">
        <v>34.1</v>
      </c>
      <c r="C196" s="1">
        <v>0.10131999999999999</v>
      </c>
      <c r="D196" s="1">
        <v>994.34</v>
      </c>
      <c r="E196" s="1">
        <v>1.0057E-3</v>
      </c>
      <c r="F196" s="1">
        <v>142.86000000000001</v>
      </c>
      <c r="G196" s="1">
        <v>142.96</v>
      </c>
      <c r="H196" s="1">
        <v>0.49286999999999997</v>
      </c>
      <c r="I196" s="1">
        <v>4.0997000000000003</v>
      </c>
      <c r="J196" s="1">
        <v>4.1792999999999996</v>
      </c>
      <c r="K196" s="1">
        <v>1518</v>
      </c>
      <c r="L196" s="1">
        <v>-0.21561</v>
      </c>
      <c r="M196" s="1">
        <v>7.3224E-4</v>
      </c>
      <c r="N196" s="1">
        <v>0.62041999999999997</v>
      </c>
      <c r="O196" s="1" t="s">
        <v>52</v>
      </c>
    </row>
    <row r="197" spans="2:15">
      <c r="B197" s="1">
        <v>34.200000000000003</v>
      </c>
      <c r="C197" s="1">
        <v>0.10131999999999999</v>
      </c>
      <c r="D197" s="1">
        <v>994.31</v>
      </c>
      <c r="E197" s="1">
        <v>1.0057E-3</v>
      </c>
      <c r="F197" s="1">
        <v>143.27000000000001</v>
      </c>
      <c r="G197" s="1">
        <v>143.38</v>
      </c>
      <c r="H197" s="1">
        <v>0.49423</v>
      </c>
      <c r="I197" s="1">
        <v>4.0993000000000004</v>
      </c>
      <c r="J197" s="1">
        <v>4.1792999999999996</v>
      </c>
      <c r="K197" s="1">
        <v>1518.2</v>
      </c>
      <c r="L197" s="1">
        <v>-0.21554999999999999</v>
      </c>
      <c r="M197" s="1">
        <v>7.3077000000000005E-4</v>
      </c>
      <c r="N197" s="1">
        <v>0.62056999999999995</v>
      </c>
      <c r="O197" s="1" t="s">
        <v>52</v>
      </c>
    </row>
    <row r="198" spans="2:15">
      <c r="B198" s="1">
        <v>34.299999999999997</v>
      </c>
      <c r="C198" s="1">
        <v>0.10131999999999999</v>
      </c>
      <c r="D198" s="1">
        <v>994.27</v>
      </c>
      <c r="E198" s="1">
        <v>1.0058000000000001E-3</v>
      </c>
      <c r="F198" s="1">
        <v>143.69</v>
      </c>
      <c r="G198" s="1">
        <v>143.79</v>
      </c>
      <c r="H198" s="1">
        <v>0.49558999999999997</v>
      </c>
      <c r="I198" s="1">
        <v>4.0989000000000004</v>
      </c>
      <c r="J198" s="1">
        <v>4.1792999999999996</v>
      </c>
      <c r="K198" s="1">
        <v>1518.4</v>
      </c>
      <c r="L198" s="1">
        <v>-0.21548999999999999</v>
      </c>
      <c r="M198" s="1">
        <v>7.293E-4</v>
      </c>
      <c r="N198" s="1">
        <v>0.62070999999999998</v>
      </c>
      <c r="O198" s="1" t="s">
        <v>52</v>
      </c>
    </row>
    <row r="199" spans="2:15">
      <c r="B199" s="1">
        <v>34.4</v>
      </c>
      <c r="C199" s="1">
        <v>0.10131999999999999</v>
      </c>
      <c r="D199" s="1">
        <v>994.24</v>
      </c>
      <c r="E199" s="1">
        <v>1.0058000000000001E-3</v>
      </c>
      <c r="F199" s="1">
        <v>144.11000000000001</v>
      </c>
      <c r="G199" s="1">
        <v>144.21</v>
      </c>
      <c r="H199" s="1">
        <v>0.49695</v>
      </c>
      <c r="I199" s="1">
        <v>4.0983999999999998</v>
      </c>
      <c r="J199" s="1">
        <v>4.1792999999999996</v>
      </c>
      <c r="K199" s="1">
        <v>1518.7</v>
      </c>
      <c r="L199" s="1">
        <v>-0.21543000000000001</v>
      </c>
      <c r="M199" s="1">
        <v>7.2782999999999995E-4</v>
      </c>
      <c r="N199" s="1">
        <v>0.62085000000000001</v>
      </c>
      <c r="O199" s="1" t="s">
        <v>52</v>
      </c>
    </row>
    <row r="200" spans="2:15">
      <c r="B200" s="1">
        <v>34.5</v>
      </c>
      <c r="C200" s="1">
        <v>0.10131999999999999</v>
      </c>
      <c r="D200" s="1">
        <v>994.2</v>
      </c>
      <c r="E200" s="1">
        <v>1.0058000000000001E-3</v>
      </c>
      <c r="F200" s="1">
        <v>144.53</v>
      </c>
      <c r="G200" s="1">
        <v>144.63</v>
      </c>
      <c r="H200" s="1">
        <v>0.49830999999999998</v>
      </c>
      <c r="I200" s="1">
        <v>4.0979999999999999</v>
      </c>
      <c r="J200" s="1">
        <v>4.1792999999999996</v>
      </c>
      <c r="K200" s="1">
        <v>1518.9</v>
      </c>
      <c r="L200" s="1">
        <v>-0.21536</v>
      </c>
      <c r="M200" s="1">
        <v>7.2637000000000005E-4</v>
      </c>
      <c r="N200" s="1">
        <v>0.62099000000000004</v>
      </c>
      <c r="O200" s="1" t="s">
        <v>52</v>
      </c>
    </row>
    <row r="201" spans="2:15">
      <c r="B201" s="1">
        <v>34.6</v>
      </c>
      <c r="C201" s="1">
        <v>0.10131999999999999</v>
      </c>
      <c r="D201" s="1">
        <v>994.17</v>
      </c>
      <c r="E201" s="1">
        <v>1.0058999999999999E-3</v>
      </c>
      <c r="F201" s="1">
        <v>144.94999999999999</v>
      </c>
      <c r="G201" s="1">
        <v>145.05000000000001</v>
      </c>
      <c r="H201" s="1">
        <v>0.49967</v>
      </c>
      <c r="I201" s="1">
        <v>4.0975000000000001</v>
      </c>
      <c r="J201" s="1">
        <v>4.1792999999999996</v>
      </c>
      <c r="K201" s="1">
        <v>1519.1</v>
      </c>
      <c r="L201" s="1">
        <v>-0.21529999999999999</v>
      </c>
      <c r="M201" s="1">
        <v>7.2491000000000005E-4</v>
      </c>
      <c r="N201" s="1">
        <v>0.62114000000000003</v>
      </c>
      <c r="O201" s="1" t="s">
        <v>52</v>
      </c>
    </row>
    <row r="202" spans="2:15">
      <c r="B202" s="1">
        <v>34.700000000000003</v>
      </c>
      <c r="C202" s="1">
        <v>0.10131999999999999</v>
      </c>
      <c r="D202" s="1">
        <v>994.14</v>
      </c>
      <c r="E202" s="1">
        <v>1.0058999999999999E-3</v>
      </c>
      <c r="F202" s="1">
        <v>145.36000000000001</v>
      </c>
      <c r="G202" s="1">
        <v>145.47</v>
      </c>
      <c r="H202" s="1">
        <v>0.50102999999999998</v>
      </c>
      <c r="I202" s="1">
        <v>4.0971000000000002</v>
      </c>
      <c r="J202" s="1">
        <v>4.1792999999999996</v>
      </c>
      <c r="K202" s="1">
        <v>1519.3</v>
      </c>
      <c r="L202" s="1">
        <v>-0.21523999999999999</v>
      </c>
      <c r="M202" s="1">
        <v>7.2345999999999999E-4</v>
      </c>
      <c r="N202" s="1">
        <v>0.62128000000000005</v>
      </c>
      <c r="O202" s="1" t="s">
        <v>52</v>
      </c>
    </row>
    <row r="203" spans="2:15">
      <c r="B203" s="1">
        <v>34.799999999999997</v>
      </c>
      <c r="C203" s="1">
        <v>0.10131999999999999</v>
      </c>
      <c r="D203" s="1">
        <v>994.1</v>
      </c>
      <c r="E203" s="1">
        <v>1.0058999999999999E-3</v>
      </c>
      <c r="F203" s="1">
        <v>145.78</v>
      </c>
      <c r="G203" s="1">
        <v>145.88</v>
      </c>
      <c r="H203" s="1">
        <v>0.50238000000000005</v>
      </c>
      <c r="I203" s="1">
        <v>4.0967000000000002</v>
      </c>
      <c r="J203" s="1">
        <v>4.1792999999999996</v>
      </c>
      <c r="K203" s="1">
        <v>1519.4</v>
      </c>
      <c r="L203" s="1">
        <v>-0.21518000000000001</v>
      </c>
      <c r="M203" s="1">
        <v>7.2201000000000003E-4</v>
      </c>
      <c r="N203" s="1">
        <v>0.62141999999999997</v>
      </c>
      <c r="O203" s="1" t="s">
        <v>52</v>
      </c>
    </row>
    <row r="204" spans="2:15">
      <c r="B204" s="1">
        <v>34.9</v>
      </c>
      <c r="C204" s="1">
        <v>0.10131999999999999</v>
      </c>
      <c r="D204" s="1">
        <v>994.07</v>
      </c>
      <c r="E204" s="1">
        <v>1.0059999999999999E-3</v>
      </c>
      <c r="F204" s="1">
        <v>146.19999999999999</v>
      </c>
      <c r="G204" s="1">
        <v>146.30000000000001</v>
      </c>
      <c r="H204" s="1">
        <v>0.50373999999999997</v>
      </c>
      <c r="I204" s="1">
        <v>4.0961999999999996</v>
      </c>
      <c r="J204" s="1">
        <v>4.1792999999999996</v>
      </c>
      <c r="K204" s="1">
        <v>1519.6</v>
      </c>
      <c r="L204" s="1">
        <v>-0.21512000000000001</v>
      </c>
      <c r="M204" s="1">
        <v>7.2055999999999997E-4</v>
      </c>
      <c r="N204" s="1">
        <v>0.62156</v>
      </c>
      <c r="O204" s="1" t="s">
        <v>52</v>
      </c>
    </row>
    <row r="205" spans="2:15">
      <c r="B205" s="1">
        <v>35</v>
      </c>
      <c r="C205" s="1">
        <v>0.10131999999999999</v>
      </c>
      <c r="D205" s="1">
        <v>994.03</v>
      </c>
      <c r="E205" s="1">
        <v>1.0059999999999999E-3</v>
      </c>
      <c r="F205" s="1">
        <v>146.62</v>
      </c>
      <c r="G205" s="1">
        <v>146.72</v>
      </c>
      <c r="H205" s="1">
        <v>0.50509999999999999</v>
      </c>
      <c r="I205" s="1">
        <v>4.0957999999999997</v>
      </c>
      <c r="J205" s="1">
        <v>4.1792999999999996</v>
      </c>
      <c r="K205" s="1">
        <v>1519.8</v>
      </c>
      <c r="L205" s="1">
        <v>-0.21506</v>
      </c>
      <c r="M205" s="1">
        <v>7.1913000000000001E-4</v>
      </c>
      <c r="N205" s="1">
        <v>0.62170000000000003</v>
      </c>
      <c r="O205" s="1" t="s">
        <v>52</v>
      </c>
    </row>
    <row r="206" spans="2:15">
      <c r="B206" s="1">
        <v>35.1</v>
      </c>
      <c r="C206" s="1">
        <v>0.10131999999999999</v>
      </c>
      <c r="D206" s="1">
        <v>994</v>
      </c>
      <c r="E206" s="1">
        <v>1.0059999999999999E-3</v>
      </c>
      <c r="F206" s="1">
        <v>147.04</v>
      </c>
      <c r="G206" s="1">
        <v>147.13999999999999</v>
      </c>
      <c r="H206" s="1">
        <v>0.50644999999999996</v>
      </c>
      <c r="I206" s="1">
        <v>4.0953999999999997</v>
      </c>
      <c r="J206" s="1">
        <v>4.1792999999999996</v>
      </c>
      <c r="K206" s="1">
        <v>1520</v>
      </c>
      <c r="L206" s="1">
        <v>-0.21498999999999999</v>
      </c>
      <c r="M206" s="1">
        <v>7.1768999999999999E-4</v>
      </c>
      <c r="N206" s="1">
        <v>0.62183999999999995</v>
      </c>
      <c r="O206" s="1" t="s">
        <v>52</v>
      </c>
    </row>
    <row r="207" spans="2:15">
      <c r="B207" s="1">
        <v>35.200000000000003</v>
      </c>
      <c r="C207" s="1">
        <v>0.10131999999999999</v>
      </c>
      <c r="D207" s="1">
        <v>993.96</v>
      </c>
      <c r="E207" s="1">
        <v>1.0061E-3</v>
      </c>
      <c r="F207" s="1">
        <v>147.44999999999999</v>
      </c>
      <c r="G207" s="1">
        <v>147.56</v>
      </c>
      <c r="H207" s="1">
        <v>0.50780999999999998</v>
      </c>
      <c r="I207" s="1">
        <v>4.0949</v>
      </c>
      <c r="J207" s="1">
        <v>4.1792999999999996</v>
      </c>
      <c r="K207" s="1">
        <v>1520.2</v>
      </c>
      <c r="L207" s="1">
        <v>-0.21493000000000001</v>
      </c>
      <c r="M207" s="1">
        <v>7.1626000000000003E-4</v>
      </c>
      <c r="N207" s="1">
        <v>0.62197999999999998</v>
      </c>
      <c r="O207" s="1" t="s">
        <v>52</v>
      </c>
    </row>
    <row r="208" spans="2:15">
      <c r="B208" s="1">
        <v>35.299999999999997</v>
      </c>
      <c r="C208" s="1">
        <v>0.10131999999999999</v>
      </c>
      <c r="D208" s="1">
        <v>993.93</v>
      </c>
      <c r="E208" s="1">
        <v>1.0061E-3</v>
      </c>
      <c r="F208" s="1">
        <v>147.87</v>
      </c>
      <c r="G208" s="1">
        <v>147.97</v>
      </c>
      <c r="H208" s="1">
        <v>0.50915999999999995</v>
      </c>
      <c r="I208" s="1">
        <v>4.0945</v>
      </c>
      <c r="J208" s="1">
        <v>4.1791999999999998</v>
      </c>
      <c r="K208" s="1">
        <v>1520.4</v>
      </c>
      <c r="L208" s="1">
        <v>-0.21487000000000001</v>
      </c>
      <c r="M208" s="1">
        <v>7.1484000000000001E-4</v>
      </c>
      <c r="N208" s="1">
        <v>0.62212000000000001</v>
      </c>
      <c r="O208" s="1" t="s">
        <v>52</v>
      </c>
    </row>
    <row r="209" spans="2:15">
      <c r="B209" s="1">
        <v>35.4</v>
      </c>
      <c r="C209" s="1">
        <v>0.10131999999999999</v>
      </c>
      <c r="D209" s="1">
        <v>993.9</v>
      </c>
      <c r="E209" s="1">
        <v>1.0061E-3</v>
      </c>
      <c r="F209" s="1">
        <v>148.29</v>
      </c>
      <c r="G209" s="1">
        <v>148.38999999999999</v>
      </c>
      <c r="H209" s="1">
        <v>0.51051999999999997</v>
      </c>
      <c r="I209" s="1">
        <v>4.0940000000000003</v>
      </c>
      <c r="J209" s="1">
        <v>4.1791999999999998</v>
      </c>
      <c r="K209" s="1">
        <v>1520.6</v>
      </c>
      <c r="L209" s="1">
        <v>-0.21481</v>
      </c>
      <c r="M209" s="1">
        <v>7.1341999999999998E-4</v>
      </c>
      <c r="N209" s="1">
        <v>0.62226000000000004</v>
      </c>
      <c r="O209" s="1" t="s">
        <v>52</v>
      </c>
    </row>
    <row r="210" spans="2:15">
      <c r="B210" s="1">
        <v>35.5</v>
      </c>
      <c r="C210" s="1">
        <v>0.10131999999999999</v>
      </c>
      <c r="D210" s="1">
        <v>993.86</v>
      </c>
      <c r="E210" s="1">
        <v>1.0062000000000001E-3</v>
      </c>
      <c r="F210" s="1">
        <v>148.71</v>
      </c>
      <c r="G210" s="1">
        <v>148.81</v>
      </c>
      <c r="H210" s="1">
        <v>0.51187000000000005</v>
      </c>
      <c r="I210" s="1">
        <v>4.0936000000000003</v>
      </c>
      <c r="J210" s="1">
        <v>4.1791999999999998</v>
      </c>
      <c r="K210" s="1">
        <v>1520.8</v>
      </c>
      <c r="L210" s="1">
        <v>-0.21475</v>
      </c>
      <c r="M210" s="1">
        <v>7.1199999999999996E-4</v>
      </c>
      <c r="N210" s="1">
        <v>0.62239999999999995</v>
      </c>
      <c r="O210" s="1" t="s">
        <v>52</v>
      </c>
    </row>
    <row r="211" spans="2:15">
      <c r="B211" s="1">
        <v>35.6</v>
      </c>
      <c r="C211" s="1">
        <v>0.10131999999999999</v>
      </c>
      <c r="D211" s="1">
        <v>993.83</v>
      </c>
      <c r="E211" s="1">
        <v>1.0062000000000001E-3</v>
      </c>
      <c r="F211" s="1">
        <v>149.13</v>
      </c>
      <c r="G211" s="1">
        <v>149.22999999999999</v>
      </c>
      <c r="H211" s="1">
        <v>0.51322999999999996</v>
      </c>
      <c r="I211" s="1">
        <v>4.0932000000000004</v>
      </c>
      <c r="J211" s="1">
        <v>4.1791999999999998</v>
      </c>
      <c r="K211" s="1">
        <v>1521</v>
      </c>
      <c r="L211" s="1">
        <v>-0.21468999999999999</v>
      </c>
      <c r="M211" s="1">
        <v>7.1058999999999998E-4</v>
      </c>
      <c r="N211" s="1">
        <v>0.62253999999999998</v>
      </c>
      <c r="O211" s="1" t="s">
        <v>52</v>
      </c>
    </row>
    <row r="212" spans="2:15">
      <c r="B212" s="1">
        <v>35.700000000000003</v>
      </c>
      <c r="C212" s="1">
        <v>0.10131999999999999</v>
      </c>
      <c r="D212" s="1">
        <v>993.79</v>
      </c>
      <c r="E212" s="1">
        <v>1.0062000000000001E-3</v>
      </c>
      <c r="F212" s="1">
        <v>149.54</v>
      </c>
      <c r="G212" s="1">
        <v>149.65</v>
      </c>
      <c r="H212" s="1">
        <v>0.51458000000000004</v>
      </c>
      <c r="I212" s="1">
        <v>4.0926999999999998</v>
      </c>
      <c r="J212" s="1">
        <v>4.1791999999999998</v>
      </c>
      <c r="K212" s="1">
        <v>1521.2</v>
      </c>
      <c r="L212" s="1">
        <v>-0.21462999999999999</v>
      </c>
      <c r="M212" s="1">
        <v>7.0918000000000001E-4</v>
      </c>
      <c r="N212" s="1">
        <v>0.62268000000000001</v>
      </c>
      <c r="O212" s="1" t="s">
        <v>52</v>
      </c>
    </row>
    <row r="213" spans="2:15">
      <c r="B213" s="1">
        <v>35.799999999999997</v>
      </c>
      <c r="C213" s="1">
        <v>0.10131999999999999</v>
      </c>
      <c r="D213" s="1">
        <v>993.76</v>
      </c>
      <c r="E213" s="1">
        <v>1.0062999999999999E-3</v>
      </c>
      <c r="F213" s="1">
        <v>149.96</v>
      </c>
      <c r="G213" s="1">
        <v>150.06</v>
      </c>
      <c r="H213" s="1">
        <v>0.51593</v>
      </c>
      <c r="I213" s="1">
        <v>4.0922999999999998</v>
      </c>
      <c r="J213" s="1">
        <v>4.1791999999999998</v>
      </c>
      <c r="K213" s="1">
        <v>1521.4</v>
      </c>
      <c r="L213" s="1">
        <v>-0.21457000000000001</v>
      </c>
      <c r="M213" s="1">
        <v>7.0777999999999998E-4</v>
      </c>
      <c r="N213" s="1">
        <v>0.62282000000000004</v>
      </c>
      <c r="O213" s="1" t="s">
        <v>52</v>
      </c>
    </row>
    <row r="214" spans="2:15">
      <c r="B214" s="1">
        <v>35.9</v>
      </c>
      <c r="C214" s="1">
        <v>0.10131999999999999</v>
      </c>
      <c r="D214" s="1">
        <v>993.72</v>
      </c>
      <c r="E214" s="1">
        <v>1.0062999999999999E-3</v>
      </c>
      <c r="F214" s="1">
        <v>150.38</v>
      </c>
      <c r="G214" s="1">
        <v>150.47999999999999</v>
      </c>
      <c r="H214" s="1">
        <v>0.51729000000000003</v>
      </c>
      <c r="I214" s="1">
        <v>4.0918000000000001</v>
      </c>
      <c r="J214" s="1">
        <v>4.1791999999999998</v>
      </c>
      <c r="K214" s="1">
        <v>1521.6</v>
      </c>
      <c r="L214" s="1">
        <v>-0.2145</v>
      </c>
      <c r="M214" s="1">
        <v>7.0638000000000005E-4</v>
      </c>
      <c r="N214" s="1">
        <v>0.62295999999999996</v>
      </c>
      <c r="O214" s="1" t="s">
        <v>52</v>
      </c>
    </row>
    <row r="215" spans="2:15">
      <c r="B215" s="1">
        <v>36</v>
      </c>
      <c r="C215" s="1">
        <v>0.10131999999999999</v>
      </c>
      <c r="D215" s="1">
        <v>993.69</v>
      </c>
      <c r="E215" s="1">
        <v>1.0064E-3</v>
      </c>
      <c r="F215" s="1">
        <v>150.80000000000001</v>
      </c>
      <c r="G215" s="1">
        <v>150.9</v>
      </c>
      <c r="H215" s="1">
        <v>0.51863999999999999</v>
      </c>
      <c r="I215" s="1">
        <v>4.0914000000000001</v>
      </c>
      <c r="J215" s="1">
        <v>4.1791999999999998</v>
      </c>
      <c r="K215" s="1">
        <v>1521.8</v>
      </c>
      <c r="L215" s="1">
        <v>-0.21443999999999999</v>
      </c>
      <c r="M215" s="1">
        <v>7.0498999999999996E-4</v>
      </c>
      <c r="N215" s="1">
        <v>0.62309999999999999</v>
      </c>
      <c r="O215" s="1" t="s">
        <v>52</v>
      </c>
    </row>
    <row r="216" spans="2:15">
      <c r="B216" s="1">
        <v>36.1</v>
      </c>
      <c r="C216" s="1">
        <v>0.10131999999999999</v>
      </c>
      <c r="D216" s="1">
        <v>993.65</v>
      </c>
      <c r="E216" s="1">
        <v>1.0064E-3</v>
      </c>
      <c r="F216" s="1">
        <v>151.22</v>
      </c>
      <c r="G216" s="1">
        <v>151.32</v>
      </c>
      <c r="H216" s="1">
        <v>0.51998999999999995</v>
      </c>
      <c r="I216" s="1">
        <v>4.0909000000000004</v>
      </c>
      <c r="J216" s="1">
        <v>4.1791999999999998</v>
      </c>
      <c r="K216" s="1">
        <v>1522</v>
      </c>
      <c r="L216" s="1">
        <v>-0.21437999999999999</v>
      </c>
      <c r="M216" s="1">
        <v>7.0359999999999997E-4</v>
      </c>
      <c r="N216" s="1">
        <v>0.62324000000000002</v>
      </c>
      <c r="O216" s="1" t="s">
        <v>52</v>
      </c>
    </row>
    <row r="217" spans="2:15">
      <c r="B217" s="1">
        <v>36.200000000000003</v>
      </c>
      <c r="C217" s="1">
        <v>0.10131999999999999</v>
      </c>
      <c r="D217" s="1">
        <v>993.61</v>
      </c>
      <c r="E217" s="1">
        <v>1.0064E-3</v>
      </c>
      <c r="F217" s="1">
        <v>151.63</v>
      </c>
      <c r="G217" s="1">
        <v>151.72999999999999</v>
      </c>
      <c r="H217" s="1">
        <v>0.52134000000000003</v>
      </c>
      <c r="I217" s="1">
        <v>4.0904999999999996</v>
      </c>
      <c r="J217" s="1">
        <v>4.1791999999999998</v>
      </c>
      <c r="K217" s="1">
        <v>1522.2</v>
      </c>
      <c r="L217" s="1">
        <v>-0.21432000000000001</v>
      </c>
      <c r="M217" s="1">
        <v>7.0222000000000004E-4</v>
      </c>
      <c r="N217" s="1">
        <v>0.62336999999999998</v>
      </c>
      <c r="O217" s="1" t="s">
        <v>52</v>
      </c>
    </row>
    <row r="218" spans="2:15">
      <c r="B218" s="1">
        <v>36.299999999999997</v>
      </c>
      <c r="C218" s="1">
        <v>0.10131999999999999</v>
      </c>
      <c r="D218" s="1">
        <v>993.58</v>
      </c>
      <c r="E218" s="1">
        <v>1.0065E-3</v>
      </c>
      <c r="F218" s="1">
        <v>152.05000000000001</v>
      </c>
      <c r="G218" s="1">
        <v>152.15</v>
      </c>
      <c r="H218" s="1">
        <v>0.52268999999999999</v>
      </c>
      <c r="I218" s="1">
        <v>4.0900999999999996</v>
      </c>
      <c r="J218" s="1">
        <v>4.1791999999999998</v>
      </c>
      <c r="K218" s="1">
        <v>1522.4</v>
      </c>
      <c r="L218" s="1">
        <v>-0.21426000000000001</v>
      </c>
      <c r="M218" s="1">
        <v>7.0083999999999999E-4</v>
      </c>
      <c r="N218" s="1">
        <v>0.62351000000000001</v>
      </c>
      <c r="O218" s="1" t="s">
        <v>52</v>
      </c>
    </row>
    <row r="219" spans="2:15">
      <c r="B219" s="1">
        <v>36.4</v>
      </c>
      <c r="C219" s="1">
        <v>0.10131999999999999</v>
      </c>
      <c r="D219" s="1">
        <v>993.54</v>
      </c>
      <c r="E219" s="1">
        <v>1.0065E-3</v>
      </c>
      <c r="F219" s="1">
        <v>152.47</v>
      </c>
      <c r="G219" s="1">
        <v>152.57</v>
      </c>
      <c r="H219" s="1">
        <v>0.52403999999999995</v>
      </c>
      <c r="I219" s="1">
        <v>4.0895999999999999</v>
      </c>
      <c r="J219" s="1">
        <v>4.1791999999999998</v>
      </c>
      <c r="K219" s="1">
        <v>1522.5</v>
      </c>
      <c r="L219" s="1">
        <v>-0.2142</v>
      </c>
      <c r="M219" s="1">
        <v>6.9945999999999995E-4</v>
      </c>
      <c r="N219" s="1">
        <v>0.62365000000000004</v>
      </c>
      <c r="O219" s="1" t="s">
        <v>52</v>
      </c>
    </row>
    <row r="220" spans="2:15">
      <c r="B220" s="1">
        <v>36.5</v>
      </c>
      <c r="C220" s="1">
        <v>0.10131999999999999</v>
      </c>
      <c r="D220" s="1">
        <v>993.51</v>
      </c>
      <c r="E220" s="1">
        <v>1.0065E-3</v>
      </c>
      <c r="F220" s="1">
        <v>152.88999999999999</v>
      </c>
      <c r="G220" s="1">
        <v>152.99</v>
      </c>
      <c r="H220" s="1">
        <v>0.52539000000000002</v>
      </c>
      <c r="I220" s="1">
        <v>4.0891999999999999</v>
      </c>
      <c r="J220" s="1">
        <v>4.1791999999999998</v>
      </c>
      <c r="K220" s="1">
        <v>1522.7</v>
      </c>
      <c r="L220" s="1">
        <v>-0.21414</v>
      </c>
      <c r="M220" s="1">
        <v>6.9808999999999995E-4</v>
      </c>
      <c r="N220" s="1">
        <v>0.62378999999999996</v>
      </c>
      <c r="O220" s="1" t="s">
        <v>52</v>
      </c>
    </row>
    <row r="221" spans="2:15">
      <c r="B221" s="1">
        <v>36.6</v>
      </c>
      <c r="C221" s="1">
        <v>0.10131999999999999</v>
      </c>
      <c r="D221" s="1">
        <v>993.47</v>
      </c>
      <c r="E221" s="1">
        <v>1.0066000000000001E-3</v>
      </c>
      <c r="F221" s="1">
        <v>153.30000000000001</v>
      </c>
      <c r="G221" s="1">
        <v>153.41</v>
      </c>
      <c r="H221" s="1">
        <v>0.52673999999999999</v>
      </c>
      <c r="I221" s="1">
        <v>4.0887000000000002</v>
      </c>
      <c r="J221" s="1">
        <v>4.1791999999999998</v>
      </c>
      <c r="K221" s="1">
        <v>1522.9</v>
      </c>
      <c r="L221" s="1">
        <v>-0.21407999999999999</v>
      </c>
      <c r="M221" s="1">
        <v>6.9673000000000001E-4</v>
      </c>
      <c r="N221" s="1">
        <v>0.62392999999999998</v>
      </c>
      <c r="O221" s="1" t="s">
        <v>52</v>
      </c>
    </row>
    <row r="222" spans="2:15">
      <c r="B222" s="1">
        <v>36.700000000000003</v>
      </c>
      <c r="C222" s="1">
        <v>0.10131999999999999</v>
      </c>
      <c r="D222" s="1">
        <v>993.44</v>
      </c>
      <c r="E222" s="1">
        <v>1.0066000000000001E-3</v>
      </c>
      <c r="F222" s="1">
        <v>153.72</v>
      </c>
      <c r="G222" s="1">
        <v>153.82</v>
      </c>
      <c r="H222" s="1">
        <v>0.52808999999999995</v>
      </c>
      <c r="I222" s="1">
        <v>4.0883000000000003</v>
      </c>
      <c r="J222" s="1">
        <v>4.1791999999999998</v>
      </c>
      <c r="K222" s="1">
        <v>1523.1</v>
      </c>
      <c r="L222" s="1">
        <v>-0.21401999999999999</v>
      </c>
      <c r="M222" s="1">
        <v>6.9536000000000001E-4</v>
      </c>
      <c r="N222" s="1">
        <v>0.62405999999999995</v>
      </c>
      <c r="O222" s="1" t="s">
        <v>52</v>
      </c>
    </row>
    <row r="223" spans="2:15">
      <c r="B223" s="1">
        <v>36.799999999999997</v>
      </c>
      <c r="C223" s="1">
        <v>0.10131999999999999</v>
      </c>
      <c r="D223" s="1">
        <v>993.4</v>
      </c>
      <c r="E223" s="1">
        <v>1.0066000000000001E-3</v>
      </c>
      <c r="F223" s="1">
        <v>154.13999999999999</v>
      </c>
      <c r="G223" s="1">
        <v>154.24</v>
      </c>
      <c r="H223" s="1">
        <v>0.52944000000000002</v>
      </c>
      <c r="I223" s="1">
        <v>4.0877999999999997</v>
      </c>
      <c r="J223" s="1">
        <v>4.1791999999999998</v>
      </c>
      <c r="K223" s="1">
        <v>1523.3</v>
      </c>
      <c r="L223" s="1">
        <v>-0.21396000000000001</v>
      </c>
      <c r="M223" s="1">
        <v>6.9401E-4</v>
      </c>
      <c r="N223" s="1">
        <v>0.62419999999999998</v>
      </c>
      <c r="O223" s="1" t="s">
        <v>52</v>
      </c>
    </row>
    <row r="224" spans="2:15">
      <c r="B224" s="1">
        <v>36.9</v>
      </c>
      <c r="C224" s="1">
        <v>0.10131999999999999</v>
      </c>
      <c r="D224" s="1">
        <v>993.37</v>
      </c>
      <c r="E224" s="1">
        <v>1.0066999999999999E-3</v>
      </c>
      <c r="F224" s="1">
        <v>154.56</v>
      </c>
      <c r="G224" s="1">
        <v>154.66</v>
      </c>
      <c r="H224" s="1">
        <v>0.53078999999999998</v>
      </c>
      <c r="I224" s="1">
        <v>4.0873999999999997</v>
      </c>
      <c r="J224" s="1">
        <v>4.1791999999999998</v>
      </c>
      <c r="K224" s="1">
        <v>1523.5</v>
      </c>
      <c r="L224" s="1">
        <v>-0.21390000000000001</v>
      </c>
      <c r="M224" s="1">
        <v>6.9264999999999995E-4</v>
      </c>
      <c r="N224" s="1">
        <v>0.62434000000000001</v>
      </c>
      <c r="O224" s="1" t="s">
        <v>52</v>
      </c>
    </row>
    <row r="225" spans="2:15">
      <c r="B225" s="1">
        <v>37</v>
      </c>
      <c r="C225" s="1">
        <v>0.10131999999999999</v>
      </c>
      <c r="D225" s="1">
        <v>993.33</v>
      </c>
      <c r="E225" s="1">
        <v>1.0066999999999999E-3</v>
      </c>
      <c r="F225" s="1">
        <v>154.97999999999999</v>
      </c>
      <c r="G225" s="1">
        <v>155.08000000000001</v>
      </c>
      <c r="H225" s="1">
        <v>0.53212999999999999</v>
      </c>
      <c r="I225" s="1">
        <v>4.0869</v>
      </c>
      <c r="J225" s="1">
        <v>4.1791999999999998</v>
      </c>
      <c r="K225" s="1">
        <v>1523.7</v>
      </c>
      <c r="L225" s="1">
        <v>-0.21384</v>
      </c>
      <c r="M225" s="1">
        <v>6.9130000000000005E-4</v>
      </c>
      <c r="N225" s="1">
        <v>0.62448000000000004</v>
      </c>
      <c r="O225" s="1" t="s">
        <v>52</v>
      </c>
    </row>
    <row r="226" spans="2:15">
      <c r="B226" s="1">
        <v>37.1</v>
      </c>
      <c r="C226" s="1">
        <v>0.10131999999999999</v>
      </c>
      <c r="D226" s="1">
        <v>993.29</v>
      </c>
      <c r="E226" s="1">
        <v>1.0068E-3</v>
      </c>
      <c r="F226" s="1">
        <v>155.38999999999999</v>
      </c>
      <c r="G226" s="1">
        <v>155.5</v>
      </c>
      <c r="H226" s="1">
        <v>0.53347999999999995</v>
      </c>
      <c r="I226" s="1">
        <v>4.0865</v>
      </c>
      <c r="J226" s="1">
        <v>4.1791999999999998</v>
      </c>
      <c r="K226" s="1">
        <v>1523.8</v>
      </c>
      <c r="L226" s="1">
        <v>-0.21378</v>
      </c>
      <c r="M226" s="1">
        <v>6.8995999999999999E-4</v>
      </c>
      <c r="N226" s="1">
        <v>0.62461</v>
      </c>
      <c r="O226" s="1" t="s">
        <v>52</v>
      </c>
    </row>
    <row r="227" spans="2:15">
      <c r="B227" s="1">
        <v>37.200000000000003</v>
      </c>
      <c r="C227" s="1">
        <v>0.10131999999999999</v>
      </c>
      <c r="D227" s="1">
        <v>993.26</v>
      </c>
      <c r="E227" s="1">
        <v>1.0068E-3</v>
      </c>
      <c r="F227" s="1">
        <v>155.81</v>
      </c>
      <c r="G227" s="1">
        <v>155.91</v>
      </c>
      <c r="H227" s="1">
        <v>0.53483000000000003</v>
      </c>
      <c r="I227" s="1">
        <v>4.0861000000000001</v>
      </c>
      <c r="J227" s="1">
        <v>4.1791999999999998</v>
      </c>
      <c r="K227" s="1">
        <v>1524</v>
      </c>
      <c r="L227" s="1">
        <v>-0.21371000000000001</v>
      </c>
      <c r="M227" s="1">
        <v>6.8862000000000003E-4</v>
      </c>
      <c r="N227" s="1">
        <v>0.62475000000000003</v>
      </c>
      <c r="O227" s="1" t="s">
        <v>52</v>
      </c>
    </row>
    <row r="228" spans="2:15">
      <c r="B228" s="1">
        <v>37.299999999999997</v>
      </c>
      <c r="C228" s="1">
        <v>0.10131999999999999</v>
      </c>
      <c r="D228" s="1">
        <v>993.22</v>
      </c>
      <c r="E228" s="1">
        <v>1.0068E-3</v>
      </c>
      <c r="F228" s="1">
        <v>156.22999999999999</v>
      </c>
      <c r="G228" s="1">
        <v>156.33000000000001</v>
      </c>
      <c r="H228" s="1">
        <v>0.53617000000000004</v>
      </c>
      <c r="I228" s="1">
        <v>4.0856000000000003</v>
      </c>
      <c r="J228" s="1">
        <v>4.1792999999999996</v>
      </c>
      <c r="K228" s="1">
        <v>1524.2</v>
      </c>
      <c r="L228" s="1">
        <v>-0.21365000000000001</v>
      </c>
      <c r="M228" s="1">
        <v>6.8727999999999997E-4</v>
      </c>
      <c r="N228" s="1">
        <v>0.62487999999999999</v>
      </c>
      <c r="O228" s="1" t="s">
        <v>52</v>
      </c>
    </row>
    <row r="229" spans="2:15">
      <c r="B229" s="1">
        <v>37.4</v>
      </c>
      <c r="C229" s="1">
        <v>0.10131999999999999</v>
      </c>
      <c r="D229" s="1">
        <v>993.19</v>
      </c>
      <c r="E229" s="1">
        <v>1.0069E-3</v>
      </c>
      <c r="F229" s="1">
        <v>156.65</v>
      </c>
      <c r="G229" s="1">
        <v>156.75</v>
      </c>
      <c r="H229" s="1">
        <v>0.53752</v>
      </c>
      <c r="I229" s="1">
        <v>4.0852000000000004</v>
      </c>
      <c r="J229" s="1">
        <v>4.1792999999999996</v>
      </c>
      <c r="K229" s="1">
        <v>1524.4</v>
      </c>
      <c r="L229" s="1">
        <v>-0.21359</v>
      </c>
      <c r="M229" s="1">
        <v>6.8594999999999995E-4</v>
      </c>
      <c r="N229" s="1">
        <v>0.62502000000000002</v>
      </c>
      <c r="O229" s="1" t="s">
        <v>52</v>
      </c>
    </row>
    <row r="230" spans="2:15">
      <c r="B230" s="1">
        <v>37.5</v>
      </c>
      <c r="C230" s="1">
        <v>0.10131999999999999</v>
      </c>
      <c r="D230" s="1">
        <v>993.15</v>
      </c>
      <c r="E230" s="1">
        <v>1.0069E-3</v>
      </c>
      <c r="F230" s="1">
        <v>157.07</v>
      </c>
      <c r="G230" s="1">
        <v>157.16999999999999</v>
      </c>
      <c r="H230" s="1">
        <v>0.53886999999999996</v>
      </c>
      <c r="I230" s="1">
        <v>4.0846999999999998</v>
      </c>
      <c r="J230" s="1">
        <v>4.1792999999999996</v>
      </c>
      <c r="K230" s="1">
        <v>1524.6</v>
      </c>
      <c r="L230" s="1">
        <v>-0.21353</v>
      </c>
      <c r="M230" s="1">
        <v>6.8462000000000004E-4</v>
      </c>
      <c r="N230" s="1">
        <v>0.62516000000000005</v>
      </c>
      <c r="O230" s="1" t="s">
        <v>52</v>
      </c>
    </row>
    <row r="231" spans="2:15">
      <c r="B231" s="1">
        <v>37.6</v>
      </c>
      <c r="C231" s="1">
        <v>0.10131999999999999</v>
      </c>
      <c r="D231" s="1">
        <v>993.11</v>
      </c>
      <c r="E231" s="1">
        <v>1.0069E-3</v>
      </c>
      <c r="F231" s="1">
        <v>157.47999999999999</v>
      </c>
      <c r="G231" s="1">
        <v>157.59</v>
      </c>
      <c r="H231" s="1">
        <v>0.54020999999999997</v>
      </c>
      <c r="I231" s="1">
        <v>4.0842999999999998</v>
      </c>
      <c r="J231" s="1">
        <v>4.1792999999999996</v>
      </c>
      <c r="K231" s="1">
        <v>1524.8</v>
      </c>
      <c r="L231" s="1">
        <v>-0.21346999999999999</v>
      </c>
      <c r="M231" s="1">
        <v>6.8329999999999997E-4</v>
      </c>
      <c r="N231" s="1">
        <v>0.62529000000000001</v>
      </c>
      <c r="O231" s="1" t="s">
        <v>52</v>
      </c>
    </row>
    <row r="232" spans="2:15">
      <c r="B232" s="1">
        <v>37.700000000000003</v>
      </c>
      <c r="C232" s="1">
        <v>0.10131999999999999</v>
      </c>
      <c r="D232" s="1">
        <v>993.08</v>
      </c>
      <c r="E232" s="1">
        <v>1.0070000000000001E-3</v>
      </c>
      <c r="F232" s="1">
        <v>157.9</v>
      </c>
      <c r="G232" s="1">
        <v>158</v>
      </c>
      <c r="H232" s="1">
        <v>0.54156000000000004</v>
      </c>
      <c r="I232" s="1">
        <v>4.0838000000000001</v>
      </c>
      <c r="J232" s="1">
        <v>4.1792999999999996</v>
      </c>
      <c r="K232" s="1">
        <v>1524.9</v>
      </c>
      <c r="L232" s="1">
        <v>-0.21340999999999999</v>
      </c>
      <c r="M232" s="1">
        <v>6.8198E-4</v>
      </c>
      <c r="N232" s="1">
        <v>0.62543000000000004</v>
      </c>
      <c r="O232" s="1" t="s">
        <v>52</v>
      </c>
    </row>
    <row r="233" spans="2:15">
      <c r="B233" s="1">
        <v>37.799999999999997</v>
      </c>
      <c r="C233" s="1">
        <v>0.10131999999999999</v>
      </c>
      <c r="D233" s="1">
        <v>993.04</v>
      </c>
      <c r="E233" s="1">
        <v>1.0070000000000001E-3</v>
      </c>
      <c r="F233" s="1">
        <v>158.32</v>
      </c>
      <c r="G233" s="1">
        <v>158.41999999999999</v>
      </c>
      <c r="H233" s="1">
        <v>0.54290000000000005</v>
      </c>
      <c r="I233" s="1">
        <v>4.0834000000000001</v>
      </c>
      <c r="J233" s="1">
        <v>4.1792999999999996</v>
      </c>
      <c r="K233" s="1">
        <v>1525.1</v>
      </c>
      <c r="L233" s="1">
        <v>-0.21335000000000001</v>
      </c>
      <c r="M233" s="1">
        <v>6.8066000000000003E-4</v>
      </c>
      <c r="N233" s="1">
        <v>0.62556</v>
      </c>
      <c r="O233" s="1" t="s">
        <v>52</v>
      </c>
    </row>
    <row r="234" spans="2:15">
      <c r="B234" s="1">
        <v>37.9</v>
      </c>
      <c r="C234" s="1">
        <v>0.10131999999999999</v>
      </c>
      <c r="D234" s="1">
        <v>993</v>
      </c>
      <c r="E234" s="1">
        <v>1.0070000000000001E-3</v>
      </c>
      <c r="F234" s="1">
        <v>158.74</v>
      </c>
      <c r="G234" s="1">
        <v>158.84</v>
      </c>
      <c r="H234" s="1">
        <v>0.54423999999999995</v>
      </c>
      <c r="I234" s="1">
        <v>4.0829000000000004</v>
      </c>
      <c r="J234" s="1">
        <v>4.1792999999999996</v>
      </c>
      <c r="K234" s="1">
        <v>1525.3</v>
      </c>
      <c r="L234" s="1">
        <v>-0.21329000000000001</v>
      </c>
      <c r="M234" s="1">
        <v>6.7935000000000001E-4</v>
      </c>
      <c r="N234" s="1">
        <v>0.62570000000000003</v>
      </c>
      <c r="O234" s="1" t="s">
        <v>52</v>
      </c>
    </row>
    <row r="235" spans="2:15">
      <c r="B235" s="1">
        <v>38</v>
      </c>
      <c r="C235" s="1">
        <v>0.10131999999999999</v>
      </c>
      <c r="D235" s="1">
        <v>992.97</v>
      </c>
      <c r="E235" s="1">
        <v>1.0070999999999999E-3</v>
      </c>
      <c r="F235" s="1">
        <v>159.16</v>
      </c>
      <c r="G235" s="1">
        <v>159.26</v>
      </c>
      <c r="H235" s="1">
        <v>0.54559000000000002</v>
      </c>
      <c r="I235" s="1">
        <v>4.0824999999999996</v>
      </c>
      <c r="J235" s="1">
        <v>4.1792999999999996</v>
      </c>
      <c r="K235" s="1">
        <v>1525.5</v>
      </c>
      <c r="L235" s="1">
        <v>-0.21323</v>
      </c>
      <c r="M235" s="1">
        <v>6.7803999999999998E-4</v>
      </c>
      <c r="N235" s="1">
        <v>0.62583</v>
      </c>
      <c r="O235" s="1" t="s">
        <v>52</v>
      </c>
    </row>
    <row r="236" spans="2:15">
      <c r="B236" s="1">
        <v>38.1</v>
      </c>
      <c r="C236" s="1">
        <v>0.10131999999999999</v>
      </c>
      <c r="D236" s="1">
        <v>992.93</v>
      </c>
      <c r="E236" s="1">
        <v>1.0070999999999999E-3</v>
      </c>
      <c r="F236" s="1">
        <v>159.57</v>
      </c>
      <c r="G236" s="1">
        <v>159.68</v>
      </c>
      <c r="H236" s="1">
        <v>0.54693000000000003</v>
      </c>
      <c r="I236" s="1">
        <v>4.0819999999999999</v>
      </c>
      <c r="J236" s="1">
        <v>4.1792999999999996</v>
      </c>
      <c r="K236" s="1">
        <v>1525.6</v>
      </c>
      <c r="L236" s="1">
        <v>-0.21317</v>
      </c>
      <c r="M236" s="1">
        <v>6.7674E-4</v>
      </c>
      <c r="N236" s="1">
        <v>0.62597000000000003</v>
      </c>
      <c r="O236" s="1" t="s">
        <v>52</v>
      </c>
    </row>
    <row r="237" spans="2:15">
      <c r="B237" s="1">
        <v>38.200000000000003</v>
      </c>
      <c r="C237" s="1">
        <v>0.10131999999999999</v>
      </c>
      <c r="D237" s="1">
        <v>992.89</v>
      </c>
      <c r="E237" s="1">
        <v>1.0072E-3</v>
      </c>
      <c r="F237" s="1">
        <v>159.99</v>
      </c>
      <c r="G237" s="1">
        <v>160.09</v>
      </c>
      <c r="H237" s="1">
        <v>0.54827000000000004</v>
      </c>
      <c r="I237" s="1">
        <v>4.0815999999999999</v>
      </c>
      <c r="J237" s="1">
        <v>4.1792999999999996</v>
      </c>
      <c r="K237" s="1">
        <v>1525.8</v>
      </c>
      <c r="L237" s="1">
        <v>-0.21310999999999999</v>
      </c>
      <c r="M237" s="1">
        <v>6.7544000000000002E-4</v>
      </c>
      <c r="N237" s="1">
        <v>0.62609999999999999</v>
      </c>
      <c r="O237" s="1" t="s">
        <v>52</v>
      </c>
    </row>
    <row r="238" spans="2:15">
      <c r="B238" s="1">
        <v>38.299999999999997</v>
      </c>
      <c r="C238" s="1">
        <v>0.10131999999999999</v>
      </c>
      <c r="D238" s="1">
        <v>992.86</v>
      </c>
      <c r="E238" s="1">
        <v>1.0072E-3</v>
      </c>
      <c r="F238" s="1">
        <v>160.41</v>
      </c>
      <c r="G238" s="1">
        <v>160.51</v>
      </c>
      <c r="H238" s="1">
        <v>0.54961000000000004</v>
      </c>
      <c r="I238" s="1">
        <v>4.0811000000000002</v>
      </c>
      <c r="J238" s="1">
        <v>4.1792999999999996</v>
      </c>
      <c r="K238" s="1">
        <v>1526</v>
      </c>
      <c r="L238" s="1">
        <v>-0.21304999999999999</v>
      </c>
      <c r="M238" s="1">
        <v>6.7414000000000005E-4</v>
      </c>
      <c r="N238" s="1">
        <v>0.62622999999999995</v>
      </c>
      <c r="O238" s="1" t="s">
        <v>52</v>
      </c>
    </row>
    <row r="239" spans="2:15">
      <c r="B239" s="1">
        <v>38.4</v>
      </c>
      <c r="C239" s="1">
        <v>0.10131999999999999</v>
      </c>
      <c r="D239" s="1">
        <v>992.82</v>
      </c>
      <c r="E239" s="1">
        <v>1.0072E-3</v>
      </c>
      <c r="F239" s="1">
        <v>160.83000000000001</v>
      </c>
      <c r="G239" s="1">
        <v>160.93</v>
      </c>
      <c r="H239" s="1">
        <v>0.55096000000000001</v>
      </c>
      <c r="I239" s="1">
        <v>4.0807000000000002</v>
      </c>
      <c r="J239" s="1">
        <v>4.1792999999999996</v>
      </c>
      <c r="K239" s="1">
        <v>1526.2</v>
      </c>
      <c r="L239" s="1">
        <v>-0.21299000000000001</v>
      </c>
      <c r="M239" s="1">
        <v>6.7285000000000001E-4</v>
      </c>
      <c r="N239" s="1">
        <v>0.62636999999999998</v>
      </c>
      <c r="O239" s="1" t="s">
        <v>52</v>
      </c>
    </row>
    <row r="240" spans="2:15">
      <c r="B240" s="1">
        <v>38.5</v>
      </c>
      <c r="C240" s="1">
        <v>0.10131999999999999</v>
      </c>
      <c r="D240" s="1">
        <v>992.78</v>
      </c>
      <c r="E240" s="1">
        <v>1.0073E-3</v>
      </c>
      <c r="F240" s="1">
        <v>161.25</v>
      </c>
      <c r="G240" s="1">
        <v>161.35</v>
      </c>
      <c r="H240" s="1">
        <v>0.55230000000000001</v>
      </c>
      <c r="I240" s="1">
        <v>4.0801999999999996</v>
      </c>
      <c r="J240" s="1">
        <v>4.1792999999999996</v>
      </c>
      <c r="K240" s="1">
        <v>1526.4</v>
      </c>
      <c r="L240" s="1">
        <v>-0.21293000000000001</v>
      </c>
      <c r="M240" s="1">
        <v>6.7157000000000002E-4</v>
      </c>
      <c r="N240" s="1">
        <v>0.62649999999999995</v>
      </c>
      <c r="O240" s="1" t="s">
        <v>52</v>
      </c>
    </row>
    <row r="241" spans="2:15">
      <c r="B241" s="1">
        <v>38.6</v>
      </c>
      <c r="C241" s="1">
        <v>0.10131999999999999</v>
      </c>
      <c r="D241" s="1">
        <v>992.74</v>
      </c>
      <c r="E241" s="1">
        <v>1.0073E-3</v>
      </c>
      <c r="F241" s="1">
        <v>161.66</v>
      </c>
      <c r="G241" s="1">
        <v>161.77000000000001</v>
      </c>
      <c r="H241" s="1">
        <v>0.55364000000000002</v>
      </c>
      <c r="I241" s="1">
        <v>4.0797999999999996</v>
      </c>
      <c r="J241" s="1">
        <v>4.1792999999999996</v>
      </c>
      <c r="K241" s="1">
        <v>1526.5</v>
      </c>
      <c r="L241" s="1">
        <v>-0.21287</v>
      </c>
      <c r="M241" s="1">
        <v>6.7027999999999999E-4</v>
      </c>
      <c r="N241" s="1">
        <v>0.62663999999999997</v>
      </c>
      <c r="O241" s="1" t="s">
        <v>52</v>
      </c>
    </row>
    <row r="242" spans="2:15">
      <c r="B242" s="1">
        <v>38.700000000000003</v>
      </c>
      <c r="C242" s="1">
        <v>0.10131999999999999</v>
      </c>
      <c r="D242" s="1">
        <v>992.71</v>
      </c>
      <c r="E242" s="1">
        <v>1.0073E-3</v>
      </c>
      <c r="F242" s="1">
        <v>162.08000000000001</v>
      </c>
      <c r="G242" s="1">
        <v>162.18</v>
      </c>
      <c r="H242" s="1">
        <v>0.55498000000000003</v>
      </c>
      <c r="I242" s="1">
        <v>4.0792999999999999</v>
      </c>
      <c r="J242" s="1">
        <v>4.1792999999999996</v>
      </c>
      <c r="K242" s="1">
        <v>1526.7</v>
      </c>
      <c r="L242" s="1">
        <v>-0.21281</v>
      </c>
      <c r="M242" s="1">
        <v>6.69E-4</v>
      </c>
      <c r="N242" s="1">
        <v>0.62677000000000005</v>
      </c>
      <c r="O242" s="1" t="s">
        <v>52</v>
      </c>
    </row>
    <row r="243" spans="2:15">
      <c r="B243" s="1">
        <v>38.799999999999997</v>
      </c>
      <c r="C243" s="1">
        <v>0.10131999999999999</v>
      </c>
      <c r="D243" s="1">
        <v>992.67</v>
      </c>
      <c r="E243" s="1">
        <v>1.0074000000000001E-3</v>
      </c>
      <c r="F243" s="1">
        <v>162.5</v>
      </c>
      <c r="G243" s="1">
        <v>162.6</v>
      </c>
      <c r="H243" s="1">
        <v>0.55632000000000004</v>
      </c>
      <c r="I243" s="1">
        <v>4.0789</v>
      </c>
      <c r="J243" s="1">
        <v>4.1792999999999996</v>
      </c>
      <c r="K243" s="1">
        <v>1526.9</v>
      </c>
      <c r="L243" s="1">
        <v>-0.21274999999999999</v>
      </c>
      <c r="M243" s="1">
        <v>6.6772999999999995E-4</v>
      </c>
      <c r="N243" s="1">
        <v>0.62690000000000001</v>
      </c>
      <c r="O243" s="1" t="s">
        <v>52</v>
      </c>
    </row>
    <row r="244" spans="2:15">
      <c r="B244" s="1">
        <v>38.9</v>
      </c>
      <c r="C244" s="1">
        <v>0.10131999999999999</v>
      </c>
      <c r="D244" s="1">
        <v>992.63</v>
      </c>
      <c r="E244" s="1">
        <v>1.0074000000000001E-3</v>
      </c>
      <c r="F244" s="1">
        <v>162.91999999999999</v>
      </c>
      <c r="G244" s="1">
        <v>163.02000000000001</v>
      </c>
      <c r="H244" s="1">
        <v>0.55766000000000004</v>
      </c>
      <c r="I244" s="1">
        <v>4.0784000000000002</v>
      </c>
      <c r="J244" s="1">
        <v>4.1792999999999996</v>
      </c>
      <c r="K244" s="1">
        <v>1527</v>
      </c>
      <c r="L244" s="1">
        <v>-0.21268999999999999</v>
      </c>
      <c r="M244" s="1">
        <v>6.6646000000000001E-4</v>
      </c>
      <c r="N244" s="1">
        <v>0.62704000000000004</v>
      </c>
      <c r="O244" s="1" t="s">
        <v>52</v>
      </c>
    </row>
    <row r="245" spans="2:15">
      <c r="B245" s="1">
        <v>39</v>
      </c>
      <c r="C245" s="1">
        <v>0.10131999999999999</v>
      </c>
      <c r="D245" s="1">
        <v>992.6</v>
      </c>
      <c r="E245" s="1">
        <v>1.0074999999999999E-3</v>
      </c>
      <c r="F245" s="1">
        <v>163.33000000000001</v>
      </c>
      <c r="G245" s="1">
        <v>163.44</v>
      </c>
      <c r="H245" s="1">
        <v>0.55900000000000005</v>
      </c>
      <c r="I245" s="1">
        <v>4.0780000000000003</v>
      </c>
      <c r="J245" s="1">
        <v>4.1792999999999996</v>
      </c>
      <c r="K245" s="1">
        <v>1527.2</v>
      </c>
      <c r="L245" s="1">
        <v>-0.21263000000000001</v>
      </c>
      <c r="M245" s="1">
        <v>6.6518999999999997E-4</v>
      </c>
      <c r="N245" s="1">
        <v>0.62717000000000001</v>
      </c>
      <c r="O245" s="1" t="s">
        <v>52</v>
      </c>
    </row>
    <row r="246" spans="2:15">
      <c r="B246" s="1">
        <v>39.1</v>
      </c>
      <c r="C246" s="1">
        <v>0.10131999999999999</v>
      </c>
      <c r="D246" s="1">
        <v>992.56</v>
      </c>
      <c r="E246" s="1">
        <v>1.0074999999999999E-3</v>
      </c>
      <c r="F246" s="1">
        <v>163.75</v>
      </c>
      <c r="G246" s="1">
        <v>163.85</v>
      </c>
      <c r="H246" s="1">
        <v>0.56033999999999995</v>
      </c>
      <c r="I246" s="1">
        <v>4.0774999999999997</v>
      </c>
      <c r="J246" s="1">
        <v>4.1792999999999996</v>
      </c>
      <c r="K246" s="1">
        <v>1527.4</v>
      </c>
      <c r="L246" s="1">
        <v>-0.21257000000000001</v>
      </c>
      <c r="M246" s="1">
        <v>6.6392999999999997E-4</v>
      </c>
      <c r="N246" s="1">
        <v>0.62729999999999997</v>
      </c>
      <c r="O246" s="1" t="s">
        <v>52</v>
      </c>
    </row>
    <row r="247" spans="2:15">
      <c r="B247" s="1">
        <v>39.200000000000003</v>
      </c>
      <c r="C247" s="1">
        <v>0.10131999999999999</v>
      </c>
      <c r="D247" s="1">
        <v>992.52</v>
      </c>
      <c r="E247" s="1">
        <v>1.0074999999999999E-3</v>
      </c>
      <c r="F247" s="1">
        <v>164.17</v>
      </c>
      <c r="G247" s="1">
        <v>164.27</v>
      </c>
      <c r="H247" s="1">
        <v>0.56167</v>
      </c>
      <c r="I247" s="1">
        <v>4.077</v>
      </c>
      <c r="J247" s="1">
        <v>4.1792999999999996</v>
      </c>
      <c r="K247" s="1">
        <v>1527.6</v>
      </c>
      <c r="L247" s="1">
        <v>-0.21251</v>
      </c>
      <c r="M247" s="1">
        <v>6.6266999999999997E-4</v>
      </c>
      <c r="N247" s="1">
        <v>0.62743000000000004</v>
      </c>
      <c r="O247" s="1" t="s">
        <v>52</v>
      </c>
    </row>
    <row r="248" spans="2:15">
      <c r="B248" s="1">
        <v>39.299999999999997</v>
      </c>
      <c r="C248" s="1">
        <v>0.10131999999999999</v>
      </c>
      <c r="D248" s="1">
        <v>992.48</v>
      </c>
      <c r="E248" s="1">
        <v>1.0076E-3</v>
      </c>
      <c r="F248" s="1">
        <v>164.59</v>
      </c>
      <c r="G248" s="1">
        <v>164.69</v>
      </c>
      <c r="H248" s="1">
        <v>0.56301000000000001</v>
      </c>
      <c r="I248" s="1">
        <v>4.0766</v>
      </c>
      <c r="J248" s="1">
        <v>4.1794000000000002</v>
      </c>
      <c r="K248" s="1">
        <v>1527.7</v>
      </c>
      <c r="L248" s="1">
        <v>-0.21245</v>
      </c>
      <c r="M248" s="1">
        <v>6.6140999999999997E-4</v>
      </c>
      <c r="N248" s="1">
        <v>0.62756999999999996</v>
      </c>
      <c r="O248" s="1" t="s">
        <v>52</v>
      </c>
    </row>
    <row r="249" spans="2:15">
      <c r="B249" s="1">
        <v>39.4</v>
      </c>
      <c r="C249" s="1">
        <v>0.10131999999999999</v>
      </c>
      <c r="D249" s="1">
        <v>992.44</v>
      </c>
      <c r="E249" s="1">
        <v>1.0076E-3</v>
      </c>
      <c r="F249" s="1">
        <v>165.01</v>
      </c>
      <c r="G249" s="1">
        <v>165.11</v>
      </c>
      <c r="H249" s="1">
        <v>0.56435000000000002</v>
      </c>
      <c r="I249" s="1">
        <v>4.0761000000000003</v>
      </c>
      <c r="J249" s="1">
        <v>4.1794000000000002</v>
      </c>
      <c r="K249" s="1">
        <v>1527.9</v>
      </c>
      <c r="L249" s="1">
        <v>-0.21239</v>
      </c>
      <c r="M249" s="1">
        <v>6.6016000000000002E-4</v>
      </c>
      <c r="N249" s="1">
        <v>0.62770000000000004</v>
      </c>
      <c r="O249" s="1" t="s">
        <v>52</v>
      </c>
    </row>
    <row r="250" spans="2:15">
      <c r="B250" s="1">
        <v>39.5</v>
      </c>
      <c r="C250" s="1">
        <v>0.10131999999999999</v>
      </c>
      <c r="D250" s="1">
        <v>992.41</v>
      </c>
      <c r="E250" s="1">
        <v>1.0077E-3</v>
      </c>
      <c r="F250" s="1">
        <v>165.42</v>
      </c>
      <c r="G250" s="1">
        <v>165.53</v>
      </c>
      <c r="H250" s="1">
        <v>0.56569000000000003</v>
      </c>
      <c r="I250" s="1">
        <v>4.0757000000000003</v>
      </c>
      <c r="J250" s="1">
        <v>4.1794000000000002</v>
      </c>
      <c r="K250" s="1">
        <v>1528.1</v>
      </c>
      <c r="L250" s="1">
        <v>-0.21232999999999999</v>
      </c>
      <c r="M250" s="1">
        <v>6.5890999999999996E-4</v>
      </c>
      <c r="N250" s="1">
        <v>0.62783</v>
      </c>
      <c r="O250" s="1" t="s">
        <v>52</v>
      </c>
    </row>
    <row r="251" spans="2:15">
      <c r="B251" s="1">
        <v>39.6</v>
      </c>
      <c r="C251" s="1">
        <v>0.10131999999999999</v>
      </c>
      <c r="D251" s="1">
        <v>992.37</v>
      </c>
      <c r="E251" s="1">
        <v>1.0077E-3</v>
      </c>
      <c r="F251" s="1">
        <v>165.84</v>
      </c>
      <c r="G251" s="1">
        <v>165.94</v>
      </c>
      <c r="H251" s="1">
        <v>0.56701999999999997</v>
      </c>
      <c r="I251" s="1">
        <v>4.0751999999999997</v>
      </c>
      <c r="J251" s="1">
        <v>4.1794000000000002</v>
      </c>
      <c r="K251" s="1">
        <v>1528.2</v>
      </c>
      <c r="L251" s="1">
        <v>-0.21226999999999999</v>
      </c>
      <c r="M251" s="1">
        <v>6.5766999999999996E-4</v>
      </c>
      <c r="N251" s="1">
        <v>0.62795999999999996</v>
      </c>
      <c r="O251" s="1" t="s">
        <v>52</v>
      </c>
    </row>
    <row r="252" spans="2:15">
      <c r="B252" s="1">
        <v>39.700000000000003</v>
      </c>
      <c r="C252" s="1">
        <v>0.10131999999999999</v>
      </c>
      <c r="D252" s="1">
        <v>992.33</v>
      </c>
      <c r="E252" s="1">
        <v>1.0077E-3</v>
      </c>
      <c r="F252" s="1">
        <v>166.26</v>
      </c>
      <c r="G252" s="1">
        <v>166.36</v>
      </c>
      <c r="H252" s="1">
        <v>0.56835999999999998</v>
      </c>
      <c r="I252" s="1">
        <v>4.0747999999999998</v>
      </c>
      <c r="J252" s="1">
        <v>4.1794000000000002</v>
      </c>
      <c r="K252" s="1">
        <v>1528.4</v>
      </c>
      <c r="L252" s="1">
        <v>-0.21221000000000001</v>
      </c>
      <c r="M252" s="1">
        <v>6.5642999999999995E-4</v>
      </c>
      <c r="N252" s="1">
        <v>0.62809000000000004</v>
      </c>
      <c r="O252" s="1" t="s">
        <v>52</v>
      </c>
    </row>
    <row r="253" spans="2:15">
      <c r="B253" s="1">
        <v>39.799999999999997</v>
      </c>
      <c r="C253" s="1">
        <v>0.10131999999999999</v>
      </c>
      <c r="D253" s="1">
        <v>992.29</v>
      </c>
      <c r="E253" s="1">
        <v>1.0078000000000001E-3</v>
      </c>
      <c r="F253" s="1">
        <v>166.68</v>
      </c>
      <c r="G253" s="1">
        <v>166.78</v>
      </c>
      <c r="H253" s="1">
        <v>0.56969999999999998</v>
      </c>
      <c r="I253" s="1">
        <v>4.0743</v>
      </c>
      <c r="J253" s="1">
        <v>4.1794000000000002</v>
      </c>
      <c r="K253" s="1">
        <v>1528.6</v>
      </c>
      <c r="L253" s="1">
        <v>-0.21215000000000001</v>
      </c>
      <c r="M253" s="1">
        <v>6.5519000000000005E-4</v>
      </c>
      <c r="N253" s="1">
        <v>0.62822</v>
      </c>
      <c r="O253" s="1" t="s">
        <v>52</v>
      </c>
    </row>
    <row r="254" spans="2:15">
      <c r="B254" s="1">
        <v>39.9</v>
      </c>
      <c r="C254" s="1">
        <v>0.10131999999999999</v>
      </c>
      <c r="D254" s="1">
        <v>992.25</v>
      </c>
      <c r="E254" s="1">
        <v>1.0078000000000001E-3</v>
      </c>
      <c r="F254" s="1">
        <v>167.1</v>
      </c>
      <c r="G254" s="1">
        <v>167.2</v>
      </c>
      <c r="H254" s="1">
        <v>0.57103000000000004</v>
      </c>
      <c r="I254" s="1">
        <v>4.0739000000000001</v>
      </c>
      <c r="J254" s="1">
        <v>4.1794000000000002</v>
      </c>
      <c r="K254" s="1">
        <v>1528.7</v>
      </c>
      <c r="L254" s="1">
        <v>-0.21210000000000001</v>
      </c>
      <c r="M254" s="1">
        <v>6.5395999999999998E-4</v>
      </c>
      <c r="N254" s="1">
        <v>0.62834999999999996</v>
      </c>
      <c r="O254" s="1" t="s">
        <v>52</v>
      </c>
    </row>
    <row r="255" spans="2:15">
      <c r="B255" s="1">
        <v>40</v>
      </c>
      <c r="C255" s="1">
        <v>0.10131999999999999</v>
      </c>
      <c r="D255" s="1">
        <v>992.22</v>
      </c>
      <c r="E255" s="1">
        <v>1.0078000000000001E-3</v>
      </c>
      <c r="F255" s="1">
        <v>167.51</v>
      </c>
      <c r="G255" s="1">
        <v>167.62</v>
      </c>
      <c r="H255" s="1">
        <v>0.57237000000000005</v>
      </c>
      <c r="I255" s="1">
        <v>4.0734000000000004</v>
      </c>
      <c r="J255" s="1">
        <v>4.1794000000000002</v>
      </c>
      <c r="K255" s="1">
        <v>1528.9</v>
      </c>
      <c r="L255" s="1">
        <v>-0.21204000000000001</v>
      </c>
      <c r="M255" s="1">
        <v>6.5273000000000002E-4</v>
      </c>
      <c r="N255" s="1">
        <v>0.62848999999999999</v>
      </c>
      <c r="O255" s="1" t="s">
        <v>52</v>
      </c>
    </row>
    <row r="256" spans="2:15">
      <c r="B256" s="1">
        <v>40.1</v>
      </c>
      <c r="C256" s="1">
        <v>0.10131999999999999</v>
      </c>
      <c r="D256" s="1">
        <v>992.18</v>
      </c>
      <c r="E256" s="1">
        <v>1.0078999999999999E-3</v>
      </c>
      <c r="F256" s="1">
        <v>167.93</v>
      </c>
      <c r="G256" s="1">
        <v>168.03</v>
      </c>
      <c r="H256" s="1">
        <v>0.57369999999999999</v>
      </c>
      <c r="I256" s="1">
        <v>4.0728999999999997</v>
      </c>
      <c r="J256" s="1">
        <v>4.1794000000000002</v>
      </c>
      <c r="K256" s="1">
        <v>1529.1</v>
      </c>
      <c r="L256" s="1">
        <v>-0.21198</v>
      </c>
      <c r="M256" s="1">
        <v>6.5149999999999995E-4</v>
      </c>
      <c r="N256" s="1">
        <v>0.62861999999999996</v>
      </c>
      <c r="O256" s="1" t="s">
        <v>52</v>
      </c>
    </row>
    <row r="257" spans="2:15">
      <c r="B257" s="1">
        <v>40.200000000000003</v>
      </c>
      <c r="C257" s="1">
        <v>0.10131999999999999</v>
      </c>
      <c r="D257" s="1">
        <v>992.14</v>
      </c>
      <c r="E257" s="1">
        <v>1.0078999999999999E-3</v>
      </c>
      <c r="F257" s="1">
        <v>168.35</v>
      </c>
      <c r="G257" s="1">
        <v>168.45</v>
      </c>
      <c r="H257" s="1">
        <v>0.57503000000000004</v>
      </c>
      <c r="I257" s="1">
        <v>4.0724999999999998</v>
      </c>
      <c r="J257" s="1">
        <v>4.1794000000000002</v>
      </c>
      <c r="K257" s="1">
        <v>1529.2</v>
      </c>
      <c r="L257" s="1">
        <v>-0.21192</v>
      </c>
      <c r="M257" s="1">
        <v>6.5028000000000004E-4</v>
      </c>
      <c r="N257" s="1">
        <v>0.62875000000000003</v>
      </c>
      <c r="O257" s="1" t="s">
        <v>52</v>
      </c>
    </row>
    <row r="258" spans="2:15">
      <c r="B258" s="1">
        <v>40.299999999999997</v>
      </c>
      <c r="C258" s="1">
        <v>0.10131999999999999</v>
      </c>
      <c r="D258" s="1">
        <v>992.1</v>
      </c>
      <c r="E258" s="1">
        <v>1.008E-3</v>
      </c>
      <c r="F258" s="1">
        <v>168.77</v>
      </c>
      <c r="G258" s="1">
        <v>168.87</v>
      </c>
      <c r="H258" s="1">
        <v>0.57637000000000005</v>
      </c>
      <c r="I258" s="1">
        <v>4.0720000000000001</v>
      </c>
      <c r="J258" s="1">
        <v>4.1794000000000002</v>
      </c>
      <c r="K258" s="1">
        <v>1529.4</v>
      </c>
      <c r="L258" s="1">
        <v>-0.21185999999999999</v>
      </c>
      <c r="M258" s="1">
        <v>6.4906000000000002E-4</v>
      </c>
      <c r="N258" s="1">
        <v>0.62887999999999999</v>
      </c>
      <c r="O258" s="1" t="s">
        <v>52</v>
      </c>
    </row>
    <row r="259" spans="2:15">
      <c r="B259" s="1">
        <v>40.4</v>
      </c>
      <c r="C259" s="1">
        <v>0.10131999999999999</v>
      </c>
      <c r="D259" s="1">
        <v>992.06</v>
      </c>
      <c r="E259" s="1">
        <v>1.008E-3</v>
      </c>
      <c r="F259" s="1">
        <v>169.19</v>
      </c>
      <c r="G259" s="1">
        <v>169.29</v>
      </c>
      <c r="H259" s="1">
        <v>0.57769999999999999</v>
      </c>
      <c r="I259" s="1">
        <v>4.0716000000000001</v>
      </c>
      <c r="J259" s="1">
        <v>4.1795</v>
      </c>
      <c r="K259" s="1">
        <v>1529.6</v>
      </c>
      <c r="L259" s="1">
        <v>-0.21179999999999999</v>
      </c>
      <c r="M259" s="1">
        <v>6.4785000000000005E-4</v>
      </c>
      <c r="N259" s="1">
        <v>0.62900999999999996</v>
      </c>
      <c r="O259" s="1" t="s">
        <v>52</v>
      </c>
    </row>
    <row r="260" spans="2:15">
      <c r="B260" s="1">
        <v>40.5</v>
      </c>
      <c r="C260" s="1">
        <v>0.10131999999999999</v>
      </c>
      <c r="D260" s="1">
        <v>992.02</v>
      </c>
      <c r="E260" s="1">
        <v>1.008E-3</v>
      </c>
      <c r="F260" s="1">
        <v>169.6</v>
      </c>
      <c r="G260" s="1">
        <v>169.71</v>
      </c>
      <c r="H260" s="1">
        <v>0.57903000000000004</v>
      </c>
      <c r="I260" s="1">
        <v>4.0711000000000004</v>
      </c>
      <c r="J260" s="1">
        <v>4.1795</v>
      </c>
      <c r="K260" s="1">
        <v>1529.7</v>
      </c>
      <c r="L260" s="1">
        <v>-0.21174000000000001</v>
      </c>
      <c r="M260" s="1">
        <v>6.4663999999999998E-4</v>
      </c>
      <c r="N260" s="1">
        <v>0.62914000000000003</v>
      </c>
      <c r="O260" s="1" t="s">
        <v>52</v>
      </c>
    </row>
    <row r="261" spans="2:15">
      <c r="B261" s="1">
        <v>40.6</v>
      </c>
      <c r="C261" s="1">
        <v>0.10131999999999999</v>
      </c>
      <c r="D261" s="1">
        <v>991.99</v>
      </c>
      <c r="E261" s="1">
        <v>1.0081000000000001E-3</v>
      </c>
      <c r="F261" s="1">
        <v>170.02</v>
      </c>
      <c r="G261" s="1">
        <v>170.12</v>
      </c>
      <c r="H261" s="1">
        <v>0.58037000000000005</v>
      </c>
      <c r="I261" s="1">
        <v>4.0707000000000004</v>
      </c>
      <c r="J261" s="1">
        <v>4.1795</v>
      </c>
      <c r="K261" s="1">
        <v>1529.9</v>
      </c>
      <c r="L261" s="1">
        <v>-0.21168000000000001</v>
      </c>
      <c r="M261" s="1">
        <v>6.4543000000000001E-4</v>
      </c>
      <c r="N261" s="1">
        <v>0.62927</v>
      </c>
      <c r="O261" s="1" t="s">
        <v>52</v>
      </c>
    </row>
    <row r="262" spans="2:15">
      <c r="B262" s="1">
        <v>40.700000000000003</v>
      </c>
      <c r="C262" s="1">
        <v>0.10131999999999999</v>
      </c>
      <c r="D262" s="1">
        <v>991.95</v>
      </c>
      <c r="E262" s="1">
        <v>1.0081000000000001E-3</v>
      </c>
      <c r="F262" s="1">
        <v>170.44</v>
      </c>
      <c r="G262" s="1">
        <v>170.54</v>
      </c>
      <c r="H262" s="1">
        <v>0.58169999999999999</v>
      </c>
      <c r="I262" s="1">
        <v>4.0701999999999998</v>
      </c>
      <c r="J262" s="1">
        <v>4.1795</v>
      </c>
      <c r="K262" s="1">
        <v>1530</v>
      </c>
      <c r="L262" s="1">
        <v>-0.21162</v>
      </c>
      <c r="M262" s="1">
        <v>6.4422999999999998E-4</v>
      </c>
      <c r="N262" s="1">
        <v>0.62939999999999996</v>
      </c>
      <c r="O262" s="1" t="s">
        <v>52</v>
      </c>
    </row>
    <row r="263" spans="2:15">
      <c r="B263" s="1">
        <v>40.799999999999997</v>
      </c>
      <c r="C263" s="1">
        <v>0.10131999999999999</v>
      </c>
      <c r="D263" s="1">
        <v>991.91</v>
      </c>
      <c r="E263" s="1">
        <v>1.0081999999999999E-3</v>
      </c>
      <c r="F263" s="1">
        <v>170.86</v>
      </c>
      <c r="G263" s="1">
        <v>170.96</v>
      </c>
      <c r="H263" s="1">
        <v>0.58303000000000005</v>
      </c>
      <c r="I263" s="1">
        <v>4.0697000000000001</v>
      </c>
      <c r="J263" s="1">
        <v>4.1795</v>
      </c>
      <c r="K263" s="1">
        <v>1530.2</v>
      </c>
      <c r="L263" s="1">
        <v>-0.21156</v>
      </c>
      <c r="M263" s="1">
        <v>6.4302999999999995E-4</v>
      </c>
      <c r="N263" s="1">
        <v>0.62953000000000003</v>
      </c>
      <c r="O263" s="1" t="s">
        <v>52</v>
      </c>
    </row>
    <row r="264" spans="2:15">
      <c r="B264" s="1">
        <v>40.9</v>
      </c>
      <c r="C264" s="1">
        <v>0.10131999999999999</v>
      </c>
      <c r="D264" s="1">
        <v>991.87</v>
      </c>
      <c r="E264" s="1">
        <v>1.0081999999999999E-3</v>
      </c>
      <c r="F264" s="1">
        <v>171.28</v>
      </c>
      <c r="G264" s="1">
        <v>171.38</v>
      </c>
      <c r="H264" s="1">
        <v>0.58435999999999999</v>
      </c>
      <c r="I264" s="1">
        <v>4.0693000000000001</v>
      </c>
      <c r="J264" s="1">
        <v>4.1795</v>
      </c>
      <c r="K264" s="1">
        <v>1530.4</v>
      </c>
      <c r="L264" s="1">
        <v>-0.21149999999999999</v>
      </c>
      <c r="M264" s="1">
        <v>6.4183999999999997E-4</v>
      </c>
      <c r="N264" s="1">
        <v>0.62965000000000004</v>
      </c>
      <c r="O264" s="1" t="s">
        <v>52</v>
      </c>
    </row>
    <row r="265" spans="2:15">
      <c r="B265" s="1">
        <v>41</v>
      </c>
      <c r="C265" s="1">
        <v>0.10131999999999999</v>
      </c>
      <c r="D265" s="1">
        <v>991.83</v>
      </c>
      <c r="E265" s="1">
        <v>1.0081999999999999E-3</v>
      </c>
      <c r="F265" s="1">
        <v>171.69</v>
      </c>
      <c r="G265" s="1">
        <v>171.8</v>
      </c>
      <c r="H265" s="1">
        <v>0.58569000000000004</v>
      </c>
      <c r="I265" s="1">
        <v>4.0688000000000004</v>
      </c>
      <c r="J265" s="1">
        <v>4.1795</v>
      </c>
      <c r="K265" s="1">
        <v>1530.5</v>
      </c>
      <c r="L265" s="1">
        <v>-0.21143999999999999</v>
      </c>
      <c r="M265" s="1">
        <v>6.4064000000000005E-4</v>
      </c>
      <c r="N265" s="1">
        <v>0.62978000000000001</v>
      </c>
      <c r="O265" s="1" t="s">
        <v>52</v>
      </c>
    </row>
    <row r="266" spans="2:15">
      <c r="B266" s="1">
        <v>41.1</v>
      </c>
      <c r="C266" s="1">
        <v>0.10131999999999999</v>
      </c>
      <c r="D266" s="1">
        <v>991.79</v>
      </c>
      <c r="E266" s="1">
        <v>1.0083E-3</v>
      </c>
      <c r="F266" s="1">
        <v>172.11</v>
      </c>
      <c r="G266" s="1">
        <v>172.21</v>
      </c>
      <c r="H266" s="1">
        <v>0.58701999999999999</v>
      </c>
      <c r="I266" s="1">
        <v>4.0683999999999996</v>
      </c>
      <c r="J266" s="1">
        <v>4.1795</v>
      </c>
      <c r="K266" s="1">
        <v>1530.7</v>
      </c>
      <c r="L266" s="1">
        <v>-0.21138000000000001</v>
      </c>
      <c r="M266" s="1">
        <v>6.3946000000000001E-4</v>
      </c>
      <c r="N266" s="1">
        <v>0.62990999999999997</v>
      </c>
      <c r="O266" s="1" t="s">
        <v>52</v>
      </c>
    </row>
    <row r="267" spans="2:15">
      <c r="B267" s="1">
        <v>41.2</v>
      </c>
      <c r="C267" s="1">
        <v>0.10131999999999999</v>
      </c>
      <c r="D267" s="1">
        <v>991.75</v>
      </c>
      <c r="E267" s="1">
        <v>1.0083E-3</v>
      </c>
      <c r="F267" s="1">
        <v>172.53</v>
      </c>
      <c r="G267" s="1">
        <v>172.63</v>
      </c>
      <c r="H267" s="1">
        <v>0.58835000000000004</v>
      </c>
      <c r="I267" s="1">
        <v>4.0678999999999998</v>
      </c>
      <c r="J267" s="1">
        <v>4.1795</v>
      </c>
      <c r="K267" s="1">
        <v>1530.8</v>
      </c>
      <c r="L267" s="1">
        <v>-0.21132999999999999</v>
      </c>
      <c r="M267" s="1">
        <v>6.3827000000000003E-4</v>
      </c>
      <c r="N267" s="1">
        <v>0.63004000000000004</v>
      </c>
      <c r="O267" s="1" t="s">
        <v>52</v>
      </c>
    </row>
    <row r="268" spans="2:15">
      <c r="B268" s="1">
        <v>41.3</v>
      </c>
      <c r="C268" s="1">
        <v>0.10131999999999999</v>
      </c>
      <c r="D268" s="1">
        <v>991.71</v>
      </c>
      <c r="E268" s="1">
        <v>1.0084E-3</v>
      </c>
      <c r="F268" s="1">
        <v>172.95</v>
      </c>
      <c r="G268" s="1">
        <v>173.05</v>
      </c>
      <c r="H268" s="1">
        <v>0.58967999999999998</v>
      </c>
      <c r="I268" s="1">
        <v>4.0674000000000001</v>
      </c>
      <c r="J268" s="1">
        <v>4.1795999999999998</v>
      </c>
      <c r="K268" s="1">
        <v>1531</v>
      </c>
      <c r="L268" s="1">
        <v>-0.21127000000000001</v>
      </c>
      <c r="M268" s="1">
        <v>6.3708999999999999E-4</v>
      </c>
      <c r="N268" s="1">
        <v>0.63017000000000001</v>
      </c>
      <c r="O268" s="1" t="s">
        <v>52</v>
      </c>
    </row>
    <row r="269" spans="2:15">
      <c r="B269" s="1">
        <v>41.4</v>
      </c>
      <c r="C269" s="1">
        <v>0.10131999999999999</v>
      </c>
      <c r="D269" s="1">
        <v>991.67</v>
      </c>
      <c r="E269" s="1">
        <v>1.0084E-3</v>
      </c>
      <c r="F269" s="1">
        <v>173.37</v>
      </c>
      <c r="G269" s="1">
        <v>173.47</v>
      </c>
      <c r="H269" s="1">
        <v>0.59101000000000004</v>
      </c>
      <c r="I269" s="1">
        <v>4.0670000000000002</v>
      </c>
      <c r="J269" s="1">
        <v>4.1795999999999998</v>
      </c>
      <c r="K269" s="1">
        <v>1531.2</v>
      </c>
      <c r="L269" s="1">
        <v>-0.21121000000000001</v>
      </c>
      <c r="M269" s="1">
        <v>6.3590999999999995E-4</v>
      </c>
      <c r="N269" s="1">
        <v>0.63029999999999997</v>
      </c>
      <c r="O269" s="1" t="s">
        <v>52</v>
      </c>
    </row>
    <row r="270" spans="2:15">
      <c r="B270" s="1">
        <v>41.5</v>
      </c>
      <c r="C270" s="1">
        <v>0.10131999999999999</v>
      </c>
      <c r="D270" s="1">
        <v>991.63</v>
      </c>
      <c r="E270" s="1">
        <v>1.0084E-3</v>
      </c>
      <c r="F270" s="1">
        <v>173.78</v>
      </c>
      <c r="G270" s="1">
        <v>173.89</v>
      </c>
      <c r="H270" s="1">
        <v>0.59233999999999998</v>
      </c>
      <c r="I270" s="1">
        <v>4.0664999999999996</v>
      </c>
      <c r="J270" s="1">
        <v>4.1795999999999998</v>
      </c>
      <c r="K270" s="1">
        <v>1531.3</v>
      </c>
      <c r="L270" s="1">
        <v>-0.21115</v>
      </c>
      <c r="M270" s="1">
        <v>6.3473999999999996E-4</v>
      </c>
      <c r="N270" s="1">
        <v>0.63041999999999998</v>
      </c>
      <c r="O270" s="1" t="s">
        <v>52</v>
      </c>
    </row>
    <row r="271" spans="2:15">
      <c r="B271" s="1">
        <v>41.6</v>
      </c>
      <c r="C271" s="1">
        <v>0.10131999999999999</v>
      </c>
      <c r="D271" s="1">
        <v>991.59</v>
      </c>
      <c r="E271" s="1">
        <v>1.0085000000000001E-3</v>
      </c>
      <c r="F271" s="1">
        <v>174.2</v>
      </c>
      <c r="G271" s="1">
        <v>174.3</v>
      </c>
      <c r="H271" s="1">
        <v>0.59367000000000003</v>
      </c>
      <c r="I271" s="1">
        <v>4.0660999999999996</v>
      </c>
      <c r="J271" s="1">
        <v>4.1795999999999998</v>
      </c>
      <c r="K271" s="1">
        <v>1531.5</v>
      </c>
      <c r="L271" s="1">
        <v>-0.21109</v>
      </c>
      <c r="M271" s="1">
        <v>6.3356999999999997E-4</v>
      </c>
      <c r="N271" s="1">
        <v>0.63055000000000005</v>
      </c>
      <c r="O271" s="1" t="s">
        <v>52</v>
      </c>
    </row>
    <row r="272" spans="2:15">
      <c r="B272" s="1">
        <v>41.7</v>
      </c>
      <c r="C272" s="1">
        <v>0.10131999999999999</v>
      </c>
      <c r="D272" s="1">
        <v>991.56</v>
      </c>
      <c r="E272" s="1">
        <v>1.0085000000000001E-3</v>
      </c>
      <c r="F272" s="1">
        <v>174.62</v>
      </c>
      <c r="G272" s="1">
        <v>174.72</v>
      </c>
      <c r="H272" s="1">
        <v>0.59499000000000002</v>
      </c>
      <c r="I272" s="1">
        <v>4.0655999999999999</v>
      </c>
      <c r="J272" s="1">
        <v>4.1795999999999998</v>
      </c>
      <c r="K272" s="1">
        <v>1531.6</v>
      </c>
      <c r="L272" s="1">
        <v>-0.21103</v>
      </c>
      <c r="M272" s="1">
        <v>6.3239999999999998E-4</v>
      </c>
      <c r="N272" s="1">
        <v>0.63068000000000002</v>
      </c>
      <c r="O272" s="1" t="s">
        <v>52</v>
      </c>
    </row>
    <row r="273" spans="2:15">
      <c r="B273" s="1">
        <v>41.8</v>
      </c>
      <c r="C273" s="1">
        <v>0.10131999999999999</v>
      </c>
      <c r="D273" s="1">
        <v>991.52</v>
      </c>
      <c r="E273" s="1">
        <v>1.0085999999999999E-3</v>
      </c>
      <c r="F273" s="1">
        <v>175.04</v>
      </c>
      <c r="G273" s="1">
        <v>175.14</v>
      </c>
      <c r="H273" s="1">
        <v>0.59631999999999996</v>
      </c>
      <c r="I273" s="1">
        <v>4.0651000000000002</v>
      </c>
      <c r="J273" s="1">
        <v>4.1795999999999998</v>
      </c>
      <c r="K273" s="1">
        <v>1531.8</v>
      </c>
      <c r="L273" s="1">
        <v>-0.21096999999999999</v>
      </c>
      <c r="M273" s="1">
        <v>6.3124000000000003E-4</v>
      </c>
      <c r="N273" s="1">
        <v>0.63080999999999998</v>
      </c>
      <c r="O273" s="1" t="s">
        <v>52</v>
      </c>
    </row>
    <row r="274" spans="2:15">
      <c r="B274" s="1">
        <v>41.9</v>
      </c>
      <c r="C274" s="1">
        <v>0.10131999999999999</v>
      </c>
      <c r="D274" s="1">
        <v>991.48</v>
      </c>
      <c r="E274" s="1">
        <v>1.0085999999999999E-3</v>
      </c>
      <c r="F274" s="1">
        <v>175.46</v>
      </c>
      <c r="G274" s="1">
        <v>175.56</v>
      </c>
      <c r="H274" s="1">
        <v>0.59765000000000001</v>
      </c>
      <c r="I274" s="1">
        <v>4.0647000000000002</v>
      </c>
      <c r="J274" s="1">
        <v>4.1795999999999998</v>
      </c>
      <c r="K274" s="1">
        <v>1531.9</v>
      </c>
      <c r="L274" s="1">
        <v>-0.21090999999999999</v>
      </c>
      <c r="M274" s="1">
        <v>6.3007999999999998E-4</v>
      </c>
      <c r="N274" s="1">
        <v>0.63092999999999999</v>
      </c>
      <c r="O274" s="1" t="s">
        <v>52</v>
      </c>
    </row>
    <row r="275" spans="2:15">
      <c r="B275" s="1">
        <v>42</v>
      </c>
      <c r="C275" s="1">
        <v>0.10131999999999999</v>
      </c>
      <c r="D275" s="1">
        <v>991.44</v>
      </c>
      <c r="E275" s="1">
        <v>1.0085999999999999E-3</v>
      </c>
      <c r="F275" s="1">
        <v>175.87</v>
      </c>
      <c r="G275" s="1">
        <v>175.98</v>
      </c>
      <c r="H275" s="1">
        <v>0.59897</v>
      </c>
      <c r="I275" s="1">
        <v>4.0641999999999996</v>
      </c>
      <c r="J275" s="1">
        <v>4.1795999999999998</v>
      </c>
      <c r="K275" s="1">
        <v>1532.1</v>
      </c>
      <c r="L275" s="1">
        <v>-0.21085000000000001</v>
      </c>
      <c r="M275" s="1">
        <v>6.2892000000000004E-4</v>
      </c>
      <c r="N275" s="1">
        <v>0.63105999999999995</v>
      </c>
      <c r="O275" s="1" t="s">
        <v>52</v>
      </c>
    </row>
    <row r="276" spans="2:15">
      <c r="B276" s="1">
        <v>42.1</v>
      </c>
      <c r="C276" s="1">
        <v>0.10131999999999999</v>
      </c>
      <c r="D276" s="1">
        <v>991.4</v>
      </c>
      <c r="E276" s="1">
        <v>1.0087E-3</v>
      </c>
      <c r="F276" s="1">
        <v>176.29</v>
      </c>
      <c r="G276" s="1">
        <v>176.39</v>
      </c>
      <c r="H276" s="1">
        <v>0.60029999999999994</v>
      </c>
      <c r="I276" s="1">
        <v>4.0636999999999999</v>
      </c>
      <c r="J276" s="1">
        <v>4.1797000000000004</v>
      </c>
      <c r="K276" s="1">
        <v>1532.3</v>
      </c>
      <c r="L276" s="1">
        <v>-0.21079999999999999</v>
      </c>
      <c r="M276" s="1">
        <v>6.2777000000000004E-4</v>
      </c>
      <c r="N276" s="1">
        <v>0.63119000000000003</v>
      </c>
      <c r="O276" s="1" t="s">
        <v>52</v>
      </c>
    </row>
    <row r="277" spans="2:15">
      <c r="B277" s="1">
        <v>42.2</v>
      </c>
      <c r="C277" s="1">
        <v>0.10131999999999999</v>
      </c>
      <c r="D277" s="1">
        <v>991.36</v>
      </c>
      <c r="E277" s="1">
        <v>1.0087E-3</v>
      </c>
      <c r="F277" s="1">
        <v>176.71</v>
      </c>
      <c r="G277" s="1">
        <v>176.81</v>
      </c>
      <c r="H277" s="1">
        <v>0.60163</v>
      </c>
      <c r="I277" s="1">
        <v>4.0632999999999999</v>
      </c>
      <c r="J277" s="1">
        <v>4.1797000000000004</v>
      </c>
      <c r="K277" s="1">
        <v>1532.4</v>
      </c>
      <c r="L277" s="1">
        <v>-0.21074000000000001</v>
      </c>
      <c r="M277" s="1">
        <v>6.2662000000000004E-4</v>
      </c>
      <c r="N277" s="1">
        <v>0.63131999999999999</v>
      </c>
      <c r="O277" s="1" t="s">
        <v>52</v>
      </c>
    </row>
    <row r="278" spans="2:15">
      <c r="B278" s="1">
        <v>42.3</v>
      </c>
      <c r="C278" s="1">
        <v>0.10131999999999999</v>
      </c>
      <c r="D278" s="1">
        <v>991.32</v>
      </c>
      <c r="E278" s="1">
        <v>1.0088E-3</v>
      </c>
      <c r="F278" s="1">
        <v>177.13</v>
      </c>
      <c r="G278" s="1">
        <v>177.23</v>
      </c>
      <c r="H278" s="1">
        <v>0.60294999999999999</v>
      </c>
      <c r="I278" s="1">
        <v>4.0628000000000002</v>
      </c>
      <c r="J278" s="1">
        <v>4.1797000000000004</v>
      </c>
      <c r="K278" s="1">
        <v>1532.6</v>
      </c>
      <c r="L278" s="1">
        <v>-0.21068000000000001</v>
      </c>
      <c r="M278" s="1">
        <v>6.2547000000000004E-4</v>
      </c>
      <c r="N278" s="1">
        <v>0.63144</v>
      </c>
      <c r="O278" s="1" t="s">
        <v>52</v>
      </c>
    </row>
    <row r="279" spans="2:15">
      <c r="B279" s="1">
        <v>42.4</v>
      </c>
      <c r="C279" s="1">
        <v>0.10131999999999999</v>
      </c>
      <c r="D279" s="1">
        <v>991.28</v>
      </c>
      <c r="E279" s="1">
        <v>1.0088E-3</v>
      </c>
      <c r="F279" s="1">
        <v>177.54</v>
      </c>
      <c r="G279" s="1">
        <v>177.65</v>
      </c>
      <c r="H279" s="1">
        <v>0.60428000000000004</v>
      </c>
      <c r="I279" s="1">
        <v>4.0622999999999996</v>
      </c>
      <c r="J279" s="1">
        <v>4.1797000000000004</v>
      </c>
      <c r="K279" s="1">
        <v>1532.7</v>
      </c>
      <c r="L279" s="1">
        <v>-0.21062</v>
      </c>
      <c r="M279" s="1">
        <v>6.2432999999999998E-4</v>
      </c>
      <c r="N279" s="1">
        <v>0.63156999999999996</v>
      </c>
      <c r="O279" s="1" t="s">
        <v>52</v>
      </c>
    </row>
    <row r="280" spans="2:15">
      <c r="B280" s="1">
        <v>42.5</v>
      </c>
      <c r="C280" s="1">
        <v>0.10131999999999999</v>
      </c>
      <c r="D280" s="1">
        <v>991.24</v>
      </c>
      <c r="E280" s="1">
        <v>1.0088E-3</v>
      </c>
      <c r="F280" s="1">
        <v>177.96</v>
      </c>
      <c r="G280" s="1">
        <v>178.07</v>
      </c>
      <c r="H280" s="1">
        <v>0.60560000000000003</v>
      </c>
      <c r="I280" s="1">
        <v>4.0618999999999996</v>
      </c>
      <c r="J280" s="1">
        <v>4.1797000000000004</v>
      </c>
      <c r="K280" s="1">
        <v>1532.9</v>
      </c>
      <c r="L280" s="1">
        <v>-0.21056</v>
      </c>
      <c r="M280" s="1">
        <v>6.2319000000000003E-4</v>
      </c>
      <c r="N280" s="1">
        <v>0.63168999999999997</v>
      </c>
      <c r="O280" s="1" t="s">
        <v>52</v>
      </c>
    </row>
    <row r="281" spans="2:15">
      <c r="B281" s="1">
        <v>42.6</v>
      </c>
      <c r="C281" s="1">
        <v>0.10131999999999999</v>
      </c>
      <c r="D281" s="1">
        <v>991.2</v>
      </c>
      <c r="E281" s="1">
        <v>1.0089000000000001E-3</v>
      </c>
      <c r="F281" s="1">
        <v>178.38</v>
      </c>
      <c r="G281" s="1">
        <v>178.48</v>
      </c>
      <c r="H281" s="1">
        <v>0.60692000000000002</v>
      </c>
      <c r="I281" s="1">
        <v>4.0613999999999999</v>
      </c>
      <c r="J281" s="1">
        <v>4.1797000000000004</v>
      </c>
      <c r="K281" s="1">
        <v>1533</v>
      </c>
      <c r="L281" s="1">
        <v>-0.21049999999999999</v>
      </c>
      <c r="M281" s="1">
        <v>6.2204999999999997E-4</v>
      </c>
      <c r="N281" s="1">
        <v>0.63182000000000005</v>
      </c>
      <c r="O281" s="1" t="s">
        <v>52</v>
      </c>
    </row>
    <row r="282" spans="2:15">
      <c r="B282" s="1">
        <v>42.7</v>
      </c>
      <c r="C282" s="1">
        <v>0.10131999999999999</v>
      </c>
      <c r="D282" s="1">
        <v>991.16</v>
      </c>
      <c r="E282" s="1">
        <v>1.0089000000000001E-3</v>
      </c>
      <c r="F282" s="1">
        <v>178.8</v>
      </c>
      <c r="G282" s="1">
        <v>178.9</v>
      </c>
      <c r="H282" s="1">
        <v>0.60824999999999996</v>
      </c>
      <c r="I282" s="1">
        <v>4.0609000000000002</v>
      </c>
      <c r="J282" s="1">
        <v>4.1797000000000004</v>
      </c>
      <c r="K282" s="1">
        <v>1533.2</v>
      </c>
      <c r="L282" s="1">
        <v>-0.21043999999999999</v>
      </c>
      <c r="M282" s="1">
        <v>6.2091999999999996E-4</v>
      </c>
      <c r="N282" s="1">
        <v>0.63195000000000001</v>
      </c>
      <c r="O282" s="1" t="s">
        <v>52</v>
      </c>
    </row>
    <row r="283" spans="2:15">
      <c r="B283" s="1">
        <v>42.8</v>
      </c>
      <c r="C283" s="1">
        <v>0.10131999999999999</v>
      </c>
      <c r="D283" s="1">
        <v>991.12</v>
      </c>
      <c r="E283" s="1">
        <v>1.0089999999999999E-3</v>
      </c>
      <c r="F283" s="1">
        <v>179.22</v>
      </c>
      <c r="G283" s="1">
        <v>179.32</v>
      </c>
      <c r="H283" s="1">
        <v>0.60956999999999995</v>
      </c>
      <c r="I283" s="1">
        <v>4.0605000000000002</v>
      </c>
      <c r="J283" s="1">
        <v>4.1798000000000002</v>
      </c>
      <c r="K283" s="1">
        <v>1533.3</v>
      </c>
      <c r="L283" s="1">
        <v>-0.21038999999999999</v>
      </c>
      <c r="M283" s="1">
        <v>6.1978999999999995E-4</v>
      </c>
      <c r="N283" s="1">
        <v>0.63207000000000002</v>
      </c>
      <c r="O283" s="1" t="s">
        <v>52</v>
      </c>
    </row>
    <row r="284" spans="2:15">
      <c r="B284" s="1">
        <v>42.9</v>
      </c>
      <c r="C284" s="1">
        <v>0.10131999999999999</v>
      </c>
      <c r="D284" s="1">
        <v>991.08</v>
      </c>
      <c r="E284" s="1">
        <v>1.0089999999999999E-3</v>
      </c>
      <c r="F284" s="1">
        <v>179.63</v>
      </c>
      <c r="G284" s="1">
        <v>179.74</v>
      </c>
      <c r="H284" s="1">
        <v>0.61089000000000004</v>
      </c>
      <c r="I284" s="1">
        <v>4.0599999999999996</v>
      </c>
      <c r="J284" s="1">
        <v>4.1798000000000002</v>
      </c>
      <c r="K284" s="1">
        <v>1533.5</v>
      </c>
      <c r="L284" s="1">
        <v>-0.21032999999999999</v>
      </c>
      <c r="M284" s="1">
        <v>6.1866000000000004E-4</v>
      </c>
      <c r="N284" s="1">
        <v>0.63219999999999998</v>
      </c>
      <c r="O284" s="1" t="s">
        <v>52</v>
      </c>
    </row>
    <row r="285" spans="2:15">
      <c r="B285" s="1">
        <v>43</v>
      </c>
      <c r="C285" s="1">
        <v>0.10131999999999999</v>
      </c>
      <c r="D285" s="1">
        <v>991.04</v>
      </c>
      <c r="E285" s="1">
        <v>1.0089999999999999E-3</v>
      </c>
      <c r="F285" s="1">
        <v>180.05</v>
      </c>
      <c r="G285" s="1">
        <v>180.16</v>
      </c>
      <c r="H285" s="1">
        <v>0.61221999999999999</v>
      </c>
      <c r="I285" s="1">
        <v>4.0595999999999997</v>
      </c>
      <c r="J285" s="1">
        <v>4.1798000000000002</v>
      </c>
      <c r="K285" s="1">
        <v>1533.6</v>
      </c>
      <c r="L285" s="1">
        <v>-0.21027000000000001</v>
      </c>
      <c r="M285" s="1">
        <v>6.1753999999999997E-4</v>
      </c>
      <c r="N285" s="1">
        <v>0.63231999999999999</v>
      </c>
      <c r="O285" s="1" t="s">
        <v>52</v>
      </c>
    </row>
    <row r="286" spans="2:15">
      <c r="B286" s="1">
        <v>43.1</v>
      </c>
      <c r="C286" s="1">
        <v>0.10131999999999999</v>
      </c>
      <c r="D286" s="1">
        <v>991</v>
      </c>
      <c r="E286" s="1">
        <v>1.0091E-3</v>
      </c>
      <c r="F286" s="1">
        <v>180.47</v>
      </c>
      <c r="G286" s="1">
        <v>180.57</v>
      </c>
      <c r="H286" s="1">
        <v>0.61353999999999997</v>
      </c>
      <c r="I286" s="1">
        <v>4.0590999999999999</v>
      </c>
      <c r="J286" s="1">
        <v>4.1798000000000002</v>
      </c>
      <c r="K286" s="1">
        <v>1533.8</v>
      </c>
      <c r="L286" s="1">
        <v>-0.21021000000000001</v>
      </c>
      <c r="M286" s="1">
        <v>6.1642000000000001E-4</v>
      </c>
      <c r="N286" s="1">
        <v>0.63244999999999996</v>
      </c>
      <c r="O286" s="1" t="s">
        <v>52</v>
      </c>
    </row>
    <row r="287" spans="2:15">
      <c r="B287" s="1">
        <v>43.2</v>
      </c>
      <c r="C287" s="1">
        <v>0.10131999999999999</v>
      </c>
      <c r="D287" s="1">
        <v>990.95</v>
      </c>
      <c r="E287" s="1">
        <v>1.0091E-3</v>
      </c>
      <c r="F287" s="1">
        <v>180.89</v>
      </c>
      <c r="G287" s="1">
        <v>180.99</v>
      </c>
      <c r="H287" s="1">
        <v>0.61485999999999996</v>
      </c>
      <c r="I287" s="1">
        <v>4.0586000000000002</v>
      </c>
      <c r="J287" s="1">
        <v>4.1798000000000002</v>
      </c>
      <c r="K287" s="1">
        <v>1533.9</v>
      </c>
      <c r="L287" s="1">
        <v>-0.21015</v>
      </c>
      <c r="M287" s="1">
        <v>6.1530999999999999E-4</v>
      </c>
      <c r="N287" s="1">
        <v>0.63256999999999997</v>
      </c>
      <c r="O287" s="1" t="s">
        <v>52</v>
      </c>
    </row>
    <row r="288" spans="2:15">
      <c r="B288" s="1">
        <v>43.3</v>
      </c>
      <c r="C288" s="1">
        <v>0.10131999999999999</v>
      </c>
      <c r="D288" s="1">
        <v>990.91</v>
      </c>
      <c r="E288" s="1">
        <v>1.0092E-3</v>
      </c>
      <c r="F288" s="1">
        <v>181.31</v>
      </c>
      <c r="G288" s="1">
        <v>181.41</v>
      </c>
      <c r="H288" s="1">
        <v>0.61617999999999995</v>
      </c>
      <c r="I288" s="1">
        <v>4.0582000000000003</v>
      </c>
      <c r="J288" s="1">
        <v>4.1798000000000002</v>
      </c>
      <c r="K288" s="1">
        <v>1534</v>
      </c>
      <c r="L288" s="1">
        <v>-0.21009</v>
      </c>
      <c r="M288" s="1">
        <v>6.1419000000000003E-4</v>
      </c>
      <c r="N288" s="1">
        <v>0.63270000000000004</v>
      </c>
      <c r="O288" s="1" t="s">
        <v>52</v>
      </c>
    </row>
    <row r="289" spans="2:15">
      <c r="B289" s="1">
        <v>43.4</v>
      </c>
      <c r="C289" s="1">
        <v>0.10131999999999999</v>
      </c>
      <c r="D289" s="1">
        <v>990.87</v>
      </c>
      <c r="E289" s="1">
        <v>1.0092E-3</v>
      </c>
      <c r="F289" s="1">
        <v>181.72</v>
      </c>
      <c r="G289" s="1">
        <v>181.83</v>
      </c>
      <c r="H289" s="1">
        <v>0.61750000000000005</v>
      </c>
      <c r="I289" s="1">
        <v>4.0576999999999996</v>
      </c>
      <c r="J289" s="1">
        <v>4.1798999999999999</v>
      </c>
      <c r="K289" s="1">
        <v>1534.2</v>
      </c>
      <c r="L289" s="1">
        <v>-0.21002999999999999</v>
      </c>
      <c r="M289" s="1">
        <v>6.1308000000000001E-4</v>
      </c>
      <c r="N289" s="1">
        <v>0.63282000000000005</v>
      </c>
      <c r="O289" s="1" t="s">
        <v>52</v>
      </c>
    </row>
    <row r="290" spans="2:15">
      <c r="B290" s="1">
        <v>43.5</v>
      </c>
      <c r="C290" s="1">
        <v>0.10131999999999999</v>
      </c>
      <c r="D290" s="1">
        <v>990.83</v>
      </c>
      <c r="E290" s="1">
        <v>1.0093000000000001E-3</v>
      </c>
      <c r="F290" s="1">
        <v>182.14</v>
      </c>
      <c r="G290" s="1">
        <v>182.24</v>
      </c>
      <c r="H290" s="1">
        <v>0.61882000000000004</v>
      </c>
      <c r="I290" s="1">
        <v>4.0571999999999999</v>
      </c>
      <c r="J290" s="1">
        <v>4.1798999999999999</v>
      </c>
      <c r="K290" s="1">
        <v>1534.3</v>
      </c>
      <c r="L290" s="1">
        <v>-0.20998</v>
      </c>
      <c r="M290" s="1">
        <v>6.1198000000000003E-4</v>
      </c>
      <c r="N290" s="1">
        <v>0.63293999999999995</v>
      </c>
      <c r="O290" s="1" t="s">
        <v>52</v>
      </c>
    </row>
    <row r="291" spans="2:15">
      <c r="B291" s="1">
        <v>43.6</v>
      </c>
      <c r="C291" s="1">
        <v>0.10131999999999999</v>
      </c>
      <c r="D291" s="1">
        <v>990.79</v>
      </c>
      <c r="E291" s="1">
        <v>1.0093000000000001E-3</v>
      </c>
      <c r="F291" s="1">
        <v>182.56</v>
      </c>
      <c r="G291" s="1">
        <v>182.66</v>
      </c>
      <c r="H291" s="1">
        <v>0.62014000000000002</v>
      </c>
      <c r="I291" s="1">
        <v>4.0567000000000002</v>
      </c>
      <c r="J291" s="1">
        <v>4.1798999999999999</v>
      </c>
      <c r="K291" s="1">
        <v>1534.5</v>
      </c>
      <c r="L291" s="1">
        <v>-0.20992</v>
      </c>
      <c r="M291" s="1">
        <v>6.1087000000000001E-4</v>
      </c>
      <c r="N291" s="1">
        <v>0.63307000000000002</v>
      </c>
      <c r="O291" s="1" t="s">
        <v>52</v>
      </c>
    </row>
    <row r="292" spans="2:15">
      <c r="B292" s="1">
        <v>43.7</v>
      </c>
      <c r="C292" s="1">
        <v>0.10131999999999999</v>
      </c>
      <c r="D292" s="1">
        <v>990.75</v>
      </c>
      <c r="E292" s="1">
        <v>1.0093000000000001E-3</v>
      </c>
      <c r="F292" s="1">
        <v>182.98</v>
      </c>
      <c r="G292" s="1">
        <v>183.08</v>
      </c>
      <c r="H292" s="1">
        <v>0.62146000000000001</v>
      </c>
      <c r="I292" s="1">
        <v>4.0563000000000002</v>
      </c>
      <c r="J292" s="1">
        <v>4.1798999999999999</v>
      </c>
      <c r="K292" s="1">
        <v>1534.6</v>
      </c>
      <c r="L292" s="1">
        <v>-0.20985999999999999</v>
      </c>
      <c r="M292" s="1">
        <v>6.0977999999999998E-4</v>
      </c>
      <c r="N292" s="1">
        <v>0.63319000000000003</v>
      </c>
      <c r="O292" s="1" t="s">
        <v>52</v>
      </c>
    </row>
    <row r="293" spans="2:15">
      <c r="B293" s="1">
        <v>43.8</v>
      </c>
      <c r="C293" s="1">
        <v>0.10131999999999999</v>
      </c>
      <c r="D293" s="1">
        <v>990.71</v>
      </c>
      <c r="E293" s="1">
        <v>1.0093999999999999E-3</v>
      </c>
      <c r="F293" s="1">
        <v>183.4</v>
      </c>
      <c r="G293" s="1">
        <v>183.5</v>
      </c>
      <c r="H293" s="1">
        <v>0.62278</v>
      </c>
      <c r="I293" s="1">
        <v>4.0557999999999996</v>
      </c>
      <c r="J293" s="1">
        <v>4.1798999999999999</v>
      </c>
      <c r="K293" s="1">
        <v>1534.8</v>
      </c>
      <c r="L293" s="1">
        <v>-0.20979999999999999</v>
      </c>
      <c r="M293" s="1">
        <v>6.0868000000000001E-4</v>
      </c>
      <c r="N293" s="1">
        <v>0.63331000000000004</v>
      </c>
      <c r="O293" s="1" t="s">
        <v>52</v>
      </c>
    </row>
    <row r="294" spans="2:15">
      <c r="B294" s="1">
        <v>43.9</v>
      </c>
      <c r="C294" s="1">
        <v>0.10131999999999999</v>
      </c>
      <c r="D294" s="1">
        <v>990.67</v>
      </c>
      <c r="E294" s="1">
        <v>1.0093999999999999E-3</v>
      </c>
      <c r="F294" s="1">
        <v>183.81</v>
      </c>
      <c r="G294" s="1">
        <v>183.92</v>
      </c>
      <c r="H294" s="1">
        <v>0.62409999999999999</v>
      </c>
      <c r="I294" s="1">
        <v>4.0552999999999999</v>
      </c>
      <c r="J294" s="1">
        <v>4.1798999999999999</v>
      </c>
      <c r="K294" s="1">
        <v>1534.9</v>
      </c>
      <c r="L294" s="1">
        <v>-0.20974000000000001</v>
      </c>
      <c r="M294" s="1">
        <v>6.0758999999999997E-4</v>
      </c>
      <c r="N294" s="1">
        <v>0.63344</v>
      </c>
      <c r="O294" s="1" t="s">
        <v>52</v>
      </c>
    </row>
    <row r="295" spans="2:15">
      <c r="B295" s="1">
        <v>44</v>
      </c>
      <c r="C295" s="1">
        <v>0.10131999999999999</v>
      </c>
      <c r="D295" s="1">
        <v>990.63</v>
      </c>
      <c r="E295" s="1">
        <v>1.0095E-3</v>
      </c>
      <c r="F295" s="1">
        <v>184.23</v>
      </c>
      <c r="G295" s="1">
        <v>184.33</v>
      </c>
      <c r="H295" s="1">
        <v>0.62541999999999998</v>
      </c>
      <c r="I295" s="1">
        <v>4.0548999999999999</v>
      </c>
      <c r="J295" s="1">
        <v>4.18</v>
      </c>
      <c r="K295" s="1">
        <v>1535.1</v>
      </c>
      <c r="L295" s="1">
        <v>-0.20968999999999999</v>
      </c>
      <c r="M295" s="1">
        <v>6.0650000000000005E-4</v>
      </c>
      <c r="N295" s="1">
        <v>0.63356000000000001</v>
      </c>
      <c r="O295" s="1" t="s">
        <v>52</v>
      </c>
    </row>
    <row r="296" spans="2:15">
      <c r="B296" s="1">
        <v>44.1</v>
      </c>
      <c r="C296" s="1">
        <v>0.10131999999999999</v>
      </c>
      <c r="D296" s="1">
        <v>990.59</v>
      </c>
      <c r="E296" s="1">
        <v>1.0095E-3</v>
      </c>
      <c r="F296" s="1">
        <v>184.65</v>
      </c>
      <c r="G296" s="1">
        <v>184.75</v>
      </c>
      <c r="H296" s="1">
        <v>0.62673000000000001</v>
      </c>
      <c r="I296" s="1">
        <v>4.0544000000000002</v>
      </c>
      <c r="J296" s="1">
        <v>4.18</v>
      </c>
      <c r="K296" s="1">
        <v>1535.2</v>
      </c>
      <c r="L296" s="1">
        <v>-0.20963000000000001</v>
      </c>
      <c r="M296" s="1">
        <v>6.0541000000000002E-4</v>
      </c>
      <c r="N296" s="1">
        <v>0.63368000000000002</v>
      </c>
      <c r="O296" s="1" t="s">
        <v>52</v>
      </c>
    </row>
    <row r="297" spans="2:15">
      <c r="B297" s="1">
        <v>44.2</v>
      </c>
      <c r="C297" s="1">
        <v>0.10131999999999999</v>
      </c>
      <c r="D297" s="1">
        <v>990.55</v>
      </c>
      <c r="E297" s="1">
        <v>1.0095E-3</v>
      </c>
      <c r="F297" s="1">
        <v>185.07</v>
      </c>
      <c r="G297" s="1">
        <v>185.17</v>
      </c>
      <c r="H297" s="1">
        <v>0.62805</v>
      </c>
      <c r="I297" s="1">
        <v>4.0538999999999996</v>
      </c>
      <c r="J297" s="1">
        <v>4.18</v>
      </c>
      <c r="K297" s="1">
        <v>1535.3</v>
      </c>
      <c r="L297" s="1">
        <v>-0.20957000000000001</v>
      </c>
      <c r="M297" s="1">
        <v>6.0433000000000004E-4</v>
      </c>
      <c r="N297" s="1">
        <v>0.63380999999999998</v>
      </c>
      <c r="O297" s="1" t="s">
        <v>52</v>
      </c>
    </row>
    <row r="298" spans="2:15">
      <c r="B298" s="1">
        <v>44.3</v>
      </c>
      <c r="C298" s="1">
        <v>0.10131999999999999</v>
      </c>
      <c r="D298" s="1">
        <v>990.5</v>
      </c>
      <c r="E298" s="1">
        <v>1.0096E-3</v>
      </c>
      <c r="F298" s="1">
        <v>185.49</v>
      </c>
      <c r="G298" s="1">
        <v>185.59</v>
      </c>
      <c r="H298" s="1">
        <v>0.62936999999999999</v>
      </c>
      <c r="I298" s="1">
        <v>4.0534999999999997</v>
      </c>
      <c r="J298" s="1">
        <v>4.18</v>
      </c>
      <c r="K298" s="1">
        <v>1535.5</v>
      </c>
      <c r="L298" s="1">
        <v>-0.20951</v>
      </c>
      <c r="M298" s="1">
        <v>6.0324E-4</v>
      </c>
      <c r="N298" s="1">
        <v>0.63392999999999999</v>
      </c>
      <c r="O298" s="1" t="s">
        <v>52</v>
      </c>
    </row>
    <row r="299" spans="2:15">
      <c r="B299" s="1">
        <v>44.4</v>
      </c>
      <c r="C299" s="1">
        <v>0.10131999999999999</v>
      </c>
      <c r="D299" s="1">
        <v>990.46</v>
      </c>
      <c r="E299" s="1">
        <v>1.0096E-3</v>
      </c>
      <c r="F299" s="1">
        <v>185.9</v>
      </c>
      <c r="G299" s="1">
        <v>186.01</v>
      </c>
      <c r="H299" s="1">
        <v>0.63068000000000002</v>
      </c>
      <c r="I299" s="1">
        <v>4.0529999999999999</v>
      </c>
      <c r="J299" s="1">
        <v>4.18</v>
      </c>
      <c r="K299" s="1">
        <v>1535.6</v>
      </c>
      <c r="L299" s="1">
        <v>-0.20945</v>
      </c>
      <c r="M299" s="1">
        <v>6.0216999999999996E-4</v>
      </c>
      <c r="N299" s="1">
        <v>0.63405</v>
      </c>
      <c r="O299" s="1" t="s">
        <v>52</v>
      </c>
    </row>
    <row r="300" spans="2:15">
      <c r="B300" s="1">
        <v>44.5</v>
      </c>
      <c r="C300" s="1">
        <v>0.10131999999999999</v>
      </c>
      <c r="D300" s="1">
        <v>990.42</v>
      </c>
      <c r="E300" s="1">
        <v>1.0097000000000001E-3</v>
      </c>
      <c r="F300" s="1">
        <v>186.32</v>
      </c>
      <c r="G300" s="1">
        <v>186.42</v>
      </c>
      <c r="H300" s="1">
        <v>0.63200000000000001</v>
      </c>
      <c r="I300" s="1">
        <v>4.0525000000000002</v>
      </c>
      <c r="J300" s="1">
        <v>4.18</v>
      </c>
      <c r="K300" s="1">
        <v>1535.8</v>
      </c>
      <c r="L300" s="1">
        <v>-0.2094</v>
      </c>
      <c r="M300" s="1">
        <v>6.0108999999999998E-4</v>
      </c>
      <c r="N300" s="1">
        <v>0.63417000000000001</v>
      </c>
      <c r="O300" s="1" t="s">
        <v>52</v>
      </c>
    </row>
    <row r="301" spans="2:15">
      <c r="B301" s="1">
        <v>44.6</v>
      </c>
      <c r="C301" s="1">
        <v>0.10131999999999999</v>
      </c>
      <c r="D301" s="1">
        <v>990.38</v>
      </c>
      <c r="E301" s="1">
        <v>1.0097000000000001E-3</v>
      </c>
      <c r="F301" s="1">
        <v>186.74</v>
      </c>
      <c r="G301" s="1">
        <v>186.84</v>
      </c>
      <c r="H301" s="1">
        <v>0.63331999999999999</v>
      </c>
      <c r="I301" s="1">
        <v>4.0519999999999996</v>
      </c>
      <c r="J301" s="1">
        <v>4.1801000000000004</v>
      </c>
      <c r="K301" s="1">
        <v>1535.9</v>
      </c>
      <c r="L301" s="1">
        <v>-0.20934</v>
      </c>
      <c r="M301" s="1">
        <v>6.0002000000000005E-4</v>
      </c>
      <c r="N301" s="1">
        <v>0.63429999999999997</v>
      </c>
      <c r="O301" s="1" t="s">
        <v>52</v>
      </c>
    </row>
    <row r="302" spans="2:15">
      <c r="B302" s="1">
        <v>44.7</v>
      </c>
      <c r="C302" s="1">
        <v>0.10131999999999999</v>
      </c>
      <c r="D302" s="1">
        <v>990.34</v>
      </c>
      <c r="E302" s="1">
        <v>1.0097999999999999E-3</v>
      </c>
      <c r="F302" s="1">
        <v>187.16</v>
      </c>
      <c r="G302" s="1">
        <v>187.26</v>
      </c>
      <c r="H302" s="1">
        <v>0.63463000000000003</v>
      </c>
      <c r="I302" s="1">
        <v>4.0515999999999996</v>
      </c>
      <c r="J302" s="1">
        <v>4.1801000000000004</v>
      </c>
      <c r="K302" s="1">
        <v>1536</v>
      </c>
      <c r="L302" s="1">
        <v>-0.20927999999999999</v>
      </c>
      <c r="M302" s="1">
        <v>5.9895E-4</v>
      </c>
      <c r="N302" s="1">
        <v>0.63441999999999998</v>
      </c>
      <c r="O302" s="1" t="s">
        <v>52</v>
      </c>
    </row>
    <row r="303" spans="2:15">
      <c r="B303" s="1">
        <v>44.8</v>
      </c>
      <c r="C303" s="1">
        <v>0.10131999999999999</v>
      </c>
      <c r="D303" s="1">
        <v>990.3</v>
      </c>
      <c r="E303" s="1">
        <v>1.0097999999999999E-3</v>
      </c>
      <c r="F303" s="1">
        <v>187.58</v>
      </c>
      <c r="G303" s="1">
        <v>187.68</v>
      </c>
      <c r="H303" s="1">
        <v>0.63595000000000002</v>
      </c>
      <c r="I303" s="1">
        <v>4.0510999999999999</v>
      </c>
      <c r="J303" s="1">
        <v>4.1801000000000004</v>
      </c>
      <c r="K303" s="1">
        <v>1536.2</v>
      </c>
      <c r="L303" s="1">
        <v>-0.20921999999999999</v>
      </c>
      <c r="M303" s="1">
        <v>5.9789000000000001E-4</v>
      </c>
      <c r="N303" s="1">
        <v>0.63453999999999999</v>
      </c>
      <c r="O303" s="1" t="s">
        <v>52</v>
      </c>
    </row>
    <row r="304" spans="2:15">
      <c r="B304" s="1">
        <v>44.9</v>
      </c>
      <c r="C304" s="1">
        <v>0.10131999999999999</v>
      </c>
      <c r="D304" s="1">
        <v>990.25</v>
      </c>
      <c r="E304" s="1">
        <v>1.0097999999999999E-3</v>
      </c>
      <c r="F304" s="1">
        <v>187.99</v>
      </c>
      <c r="G304" s="1">
        <v>188.1</v>
      </c>
      <c r="H304" s="1">
        <v>0.63726000000000005</v>
      </c>
      <c r="I304" s="1">
        <v>4.0506000000000002</v>
      </c>
      <c r="J304" s="1">
        <v>4.1801000000000004</v>
      </c>
      <c r="K304" s="1">
        <v>1536.3</v>
      </c>
      <c r="L304" s="1">
        <v>-0.20916000000000001</v>
      </c>
      <c r="M304" s="1">
        <v>5.9683000000000002E-4</v>
      </c>
      <c r="N304" s="1">
        <v>0.63466</v>
      </c>
      <c r="O304" s="1" t="s">
        <v>52</v>
      </c>
    </row>
    <row r="305" spans="2:15">
      <c r="B305" s="1">
        <v>45</v>
      </c>
      <c r="C305" s="1">
        <v>0.10131999999999999</v>
      </c>
      <c r="D305" s="1">
        <v>990.21</v>
      </c>
      <c r="E305" s="1">
        <v>1.0099E-3</v>
      </c>
      <c r="F305" s="1">
        <v>188.41</v>
      </c>
      <c r="G305" s="1">
        <v>188.51</v>
      </c>
      <c r="H305" s="1">
        <v>0.63856999999999997</v>
      </c>
      <c r="I305" s="1">
        <v>4.0502000000000002</v>
      </c>
      <c r="J305" s="1">
        <v>4.1801000000000004</v>
      </c>
      <c r="K305" s="1">
        <v>1536.4</v>
      </c>
      <c r="L305" s="1">
        <v>-0.20910999999999999</v>
      </c>
      <c r="M305" s="1">
        <v>5.9577000000000002E-4</v>
      </c>
      <c r="N305" s="1">
        <v>0.63478000000000001</v>
      </c>
      <c r="O305" s="1" t="s">
        <v>52</v>
      </c>
    </row>
    <row r="306" spans="2:15">
      <c r="B306" s="1">
        <v>45.1</v>
      </c>
      <c r="C306" s="1">
        <v>0.10131999999999999</v>
      </c>
      <c r="D306" s="1">
        <v>990.17</v>
      </c>
      <c r="E306" s="1">
        <v>1.0099E-3</v>
      </c>
      <c r="F306" s="1">
        <v>188.83</v>
      </c>
      <c r="G306" s="1">
        <v>188.93</v>
      </c>
      <c r="H306" s="1">
        <v>0.63988999999999996</v>
      </c>
      <c r="I306" s="1">
        <v>4.0496999999999996</v>
      </c>
      <c r="J306" s="1">
        <v>4.1802000000000001</v>
      </c>
      <c r="K306" s="1">
        <v>1536.6</v>
      </c>
      <c r="L306" s="1">
        <v>-0.20905000000000001</v>
      </c>
      <c r="M306" s="1">
        <v>5.9471000000000003E-4</v>
      </c>
      <c r="N306" s="1">
        <v>0.63490000000000002</v>
      </c>
      <c r="O306" s="1" t="s">
        <v>52</v>
      </c>
    </row>
    <row r="307" spans="2:15">
      <c r="B307" s="1">
        <v>45.2</v>
      </c>
      <c r="C307" s="1">
        <v>0.10131999999999999</v>
      </c>
      <c r="D307" s="1">
        <v>990.13</v>
      </c>
      <c r="E307" s="1">
        <v>1.01E-3</v>
      </c>
      <c r="F307" s="1">
        <v>189.25</v>
      </c>
      <c r="G307" s="1">
        <v>189.35</v>
      </c>
      <c r="H307" s="1">
        <v>0.64119999999999999</v>
      </c>
      <c r="I307" s="1">
        <v>4.0491999999999999</v>
      </c>
      <c r="J307" s="1">
        <v>4.1802000000000001</v>
      </c>
      <c r="K307" s="1">
        <v>1536.7</v>
      </c>
      <c r="L307" s="1">
        <v>-0.20899000000000001</v>
      </c>
      <c r="M307" s="1">
        <v>5.9365999999999998E-4</v>
      </c>
      <c r="N307" s="1">
        <v>0.63502999999999998</v>
      </c>
      <c r="O307" s="1" t="s">
        <v>52</v>
      </c>
    </row>
    <row r="308" spans="2:15">
      <c r="B308" s="1">
        <v>45.3</v>
      </c>
      <c r="C308" s="1">
        <v>0.10131999999999999</v>
      </c>
      <c r="D308" s="1">
        <v>990.09</v>
      </c>
      <c r="E308" s="1">
        <v>1.01E-3</v>
      </c>
      <c r="F308" s="1">
        <v>189.67</v>
      </c>
      <c r="G308" s="1">
        <v>189.77</v>
      </c>
      <c r="H308" s="1">
        <v>0.64251000000000003</v>
      </c>
      <c r="I308" s="1">
        <v>4.0487000000000002</v>
      </c>
      <c r="J308" s="1">
        <v>4.1802000000000001</v>
      </c>
      <c r="K308" s="1">
        <v>1536.9</v>
      </c>
      <c r="L308" s="1">
        <v>-0.20893</v>
      </c>
      <c r="M308" s="1">
        <v>5.9261000000000003E-4</v>
      </c>
      <c r="N308" s="1">
        <v>0.63514999999999999</v>
      </c>
      <c r="O308" s="1" t="s">
        <v>52</v>
      </c>
    </row>
    <row r="309" spans="2:15">
      <c r="B309" s="1">
        <v>45.4</v>
      </c>
      <c r="C309" s="1">
        <v>0.10131999999999999</v>
      </c>
      <c r="D309" s="1">
        <v>990.04</v>
      </c>
      <c r="E309" s="1">
        <v>1.0101000000000001E-3</v>
      </c>
      <c r="F309" s="1">
        <v>190.08</v>
      </c>
      <c r="G309" s="1">
        <v>190.19</v>
      </c>
      <c r="H309" s="1">
        <v>0.64383000000000001</v>
      </c>
      <c r="I309" s="1">
        <v>4.0483000000000002</v>
      </c>
      <c r="J309" s="1">
        <v>4.1802000000000001</v>
      </c>
      <c r="K309" s="1">
        <v>1537</v>
      </c>
      <c r="L309" s="1">
        <v>-0.20887</v>
      </c>
      <c r="M309" s="1">
        <v>5.9157000000000003E-4</v>
      </c>
      <c r="N309" s="1">
        <v>0.63527</v>
      </c>
      <c r="O309" s="1" t="s">
        <v>52</v>
      </c>
    </row>
    <row r="310" spans="2:15">
      <c r="B310" s="1">
        <v>45.5</v>
      </c>
      <c r="C310" s="1">
        <v>0.10131999999999999</v>
      </c>
      <c r="D310" s="1">
        <v>990</v>
      </c>
      <c r="E310" s="1">
        <v>1.0101000000000001E-3</v>
      </c>
      <c r="F310" s="1">
        <v>190.5</v>
      </c>
      <c r="G310" s="1">
        <v>190.61</v>
      </c>
      <c r="H310" s="1">
        <v>0.64514000000000005</v>
      </c>
      <c r="I310" s="1">
        <v>4.0477999999999996</v>
      </c>
      <c r="J310" s="1">
        <v>4.1802000000000001</v>
      </c>
      <c r="K310" s="1">
        <v>1537.1</v>
      </c>
      <c r="L310" s="1">
        <v>-0.20882000000000001</v>
      </c>
      <c r="M310" s="1">
        <v>5.9051999999999998E-4</v>
      </c>
      <c r="N310" s="1">
        <v>0.63539000000000001</v>
      </c>
      <c r="O310" s="1" t="s">
        <v>52</v>
      </c>
    </row>
    <row r="311" spans="2:15">
      <c r="B311" s="1">
        <v>45.6</v>
      </c>
      <c r="C311" s="1">
        <v>0.10131999999999999</v>
      </c>
      <c r="D311" s="1">
        <v>989.96</v>
      </c>
      <c r="E311" s="1">
        <v>1.0101000000000001E-3</v>
      </c>
      <c r="F311" s="1">
        <v>190.92</v>
      </c>
      <c r="G311" s="1">
        <v>191.02</v>
      </c>
      <c r="H311" s="1">
        <v>0.64644999999999997</v>
      </c>
      <c r="I311" s="1">
        <v>4.0472999999999999</v>
      </c>
      <c r="J311" s="1">
        <v>4.1802999999999999</v>
      </c>
      <c r="K311" s="1">
        <v>1537.3</v>
      </c>
      <c r="L311" s="1">
        <v>-0.20876</v>
      </c>
      <c r="M311" s="1">
        <v>5.8947999999999997E-4</v>
      </c>
      <c r="N311" s="1">
        <v>0.63551000000000002</v>
      </c>
      <c r="O311" s="1" t="s">
        <v>52</v>
      </c>
    </row>
    <row r="312" spans="2:15">
      <c r="B312" s="1">
        <v>45.7</v>
      </c>
      <c r="C312" s="1">
        <v>0.10131999999999999</v>
      </c>
      <c r="D312" s="1">
        <v>989.92</v>
      </c>
      <c r="E312" s="1">
        <v>1.0101999999999999E-3</v>
      </c>
      <c r="F312" s="1">
        <v>191.34</v>
      </c>
      <c r="G312" s="1">
        <v>191.44</v>
      </c>
      <c r="H312" s="1">
        <v>0.64776</v>
      </c>
      <c r="I312" s="1">
        <v>4.0468000000000002</v>
      </c>
      <c r="J312" s="1">
        <v>4.1802999999999999</v>
      </c>
      <c r="K312" s="1">
        <v>1537.4</v>
      </c>
      <c r="L312" s="1">
        <v>-0.2087</v>
      </c>
      <c r="M312" s="1">
        <v>5.8843999999999997E-4</v>
      </c>
      <c r="N312" s="1">
        <v>0.63563000000000003</v>
      </c>
      <c r="O312" s="1" t="s">
        <v>52</v>
      </c>
    </row>
    <row r="313" spans="2:15">
      <c r="B313" s="1">
        <v>45.8</v>
      </c>
      <c r="C313" s="1">
        <v>0.10131999999999999</v>
      </c>
      <c r="D313" s="1">
        <v>989.88</v>
      </c>
      <c r="E313" s="1">
        <v>1.0101999999999999E-3</v>
      </c>
      <c r="F313" s="1">
        <v>191.76</v>
      </c>
      <c r="G313" s="1">
        <v>191.86</v>
      </c>
      <c r="H313" s="1">
        <v>0.64907000000000004</v>
      </c>
      <c r="I313" s="1">
        <v>4.0464000000000002</v>
      </c>
      <c r="J313" s="1">
        <v>4.1802999999999999</v>
      </c>
      <c r="K313" s="1">
        <v>1537.5</v>
      </c>
      <c r="L313" s="1">
        <v>-0.20863999999999999</v>
      </c>
      <c r="M313" s="1">
        <v>5.8741000000000002E-4</v>
      </c>
      <c r="N313" s="1">
        <v>0.63575000000000004</v>
      </c>
      <c r="O313" s="1" t="s">
        <v>52</v>
      </c>
    </row>
    <row r="314" spans="2:15">
      <c r="B314" s="1">
        <v>45.9</v>
      </c>
      <c r="C314" s="1">
        <v>0.10131999999999999</v>
      </c>
      <c r="D314" s="1">
        <v>989.83</v>
      </c>
      <c r="E314" s="1">
        <v>1.0103E-3</v>
      </c>
      <c r="F314" s="1">
        <v>192.17</v>
      </c>
      <c r="G314" s="1">
        <v>192.28</v>
      </c>
      <c r="H314" s="1">
        <v>0.65037999999999996</v>
      </c>
      <c r="I314" s="1">
        <v>4.0458999999999996</v>
      </c>
      <c r="J314" s="1">
        <v>4.1802999999999999</v>
      </c>
      <c r="K314" s="1">
        <v>1537.7</v>
      </c>
      <c r="L314" s="1">
        <v>-0.20859</v>
      </c>
      <c r="M314" s="1">
        <v>5.8637999999999995E-4</v>
      </c>
      <c r="N314" s="1">
        <v>0.63587000000000005</v>
      </c>
      <c r="O314" s="1" t="s">
        <v>52</v>
      </c>
    </row>
    <row r="315" spans="2:15">
      <c r="B315" s="1">
        <v>46</v>
      </c>
      <c r="C315" s="1">
        <v>0.10131999999999999</v>
      </c>
      <c r="D315" s="1">
        <v>989.79</v>
      </c>
      <c r="E315" s="1">
        <v>1.0103E-3</v>
      </c>
      <c r="F315" s="1">
        <v>192.59</v>
      </c>
      <c r="G315" s="1">
        <v>192.7</v>
      </c>
      <c r="H315" s="1">
        <v>0.65168999999999999</v>
      </c>
      <c r="I315" s="1">
        <v>4.0453999999999999</v>
      </c>
      <c r="J315" s="1">
        <v>4.1802999999999999</v>
      </c>
      <c r="K315" s="1">
        <v>1537.8</v>
      </c>
      <c r="L315" s="1">
        <v>-0.20852999999999999</v>
      </c>
      <c r="M315" s="1">
        <v>5.8535E-4</v>
      </c>
      <c r="N315" s="1">
        <v>0.63599000000000006</v>
      </c>
      <c r="O315" s="1" t="s">
        <v>52</v>
      </c>
    </row>
    <row r="316" spans="2:15">
      <c r="B316" s="1">
        <v>46.1</v>
      </c>
      <c r="C316" s="1">
        <v>0.10131999999999999</v>
      </c>
      <c r="D316" s="1">
        <v>989.75</v>
      </c>
      <c r="E316" s="1">
        <v>1.0104000000000001E-3</v>
      </c>
      <c r="F316" s="1">
        <v>193.01</v>
      </c>
      <c r="G316" s="1">
        <v>193.11</v>
      </c>
      <c r="H316" s="1">
        <v>0.65300000000000002</v>
      </c>
      <c r="I316" s="1">
        <v>4.0449000000000002</v>
      </c>
      <c r="J316" s="1">
        <v>4.1803999999999997</v>
      </c>
      <c r="K316" s="1">
        <v>1537.9</v>
      </c>
      <c r="L316" s="1">
        <v>-0.20846999999999999</v>
      </c>
      <c r="M316" s="1">
        <v>5.8432000000000004E-4</v>
      </c>
      <c r="N316" s="1">
        <v>0.63610999999999995</v>
      </c>
      <c r="O316" s="1" t="s">
        <v>52</v>
      </c>
    </row>
    <row r="317" spans="2:15">
      <c r="B317" s="1">
        <v>46.2</v>
      </c>
      <c r="C317" s="1">
        <v>0.10131999999999999</v>
      </c>
      <c r="D317" s="1">
        <v>989.71</v>
      </c>
      <c r="E317" s="1">
        <v>1.0104000000000001E-3</v>
      </c>
      <c r="F317" s="1">
        <v>193.43</v>
      </c>
      <c r="G317" s="1">
        <v>193.53</v>
      </c>
      <c r="H317" s="1">
        <v>0.65430999999999995</v>
      </c>
      <c r="I317" s="1">
        <v>4.0445000000000002</v>
      </c>
      <c r="J317" s="1">
        <v>4.1803999999999997</v>
      </c>
      <c r="K317" s="1">
        <v>1538</v>
      </c>
      <c r="L317" s="1">
        <v>-0.20841000000000001</v>
      </c>
      <c r="M317" s="1">
        <v>5.8330000000000003E-4</v>
      </c>
      <c r="N317" s="1">
        <v>0.63622999999999996</v>
      </c>
      <c r="O317" s="1" t="s">
        <v>52</v>
      </c>
    </row>
    <row r="318" spans="2:15">
      <c r="B318" s="1">
        <v>46.3</v>
      </c>
      <c r="C318" s="1">
        <v>0.10131999999999999</v>
      </c>
      <c r="D318" s="1">
        <v>989.66</v>
      </c>
      <c r="E318" s="1">
        <v>1.0104000000000001E-3</v>
      </c>
      <c r="F318" s="1">
        <v>193.85</v>
      </c>
      <c r="G318" s="1">
        <v>193.95</v>
      </c>
      <c r="H318" s="1">
        <v>0.65561999999999998</v>
      </c>
      <c r="I318" s="1">
        <v>4.0439999999999996</v>
      </c>
      <c r="J318" s="1">
        <v>4.1803999999999997</v>
      </c>
      <c r="K318" s="1">
        <v>1538.2</v>
      </c>
      <c r="L318" s="1">
        <v>-0.20835999999999999</v>
      </c>
      <c r="M318" s="1">
        <v>5.8228000000000002E-4</v>
      </c>
      <c r="N318" s="1">
        <v>0.63634000000000002</v>
      </c>
      <c r="O318" s="1" t="s">
        <v>52</v>
      </c>
    </row>
    <row r="319" spans="2:15">
      <c r="B319" s="1">
        <v>46.4</v>
      </c>
      <c r="C319" s="1">
        <v>0.10131999999999999</v>
      </c>
      <c r="D319" s="1">
        <v>989.62</v>
      </c>
      <c r="E319" s="1">
        <v>1.0104999999999999E-3</v>
      </c>
      <c r="F319" s="1">
        <v>194.26</v>
      </c>
      <c r="G319" s="1">
        <v>194.37</v>
      </c>
      <c r="H319" s="1">
        <v>0.65693000000000001</v>
      </c>
      <c r="I319" s="1">
        <v>4.0434999999999999</v>
      </c>
      <c r="J319" s="1">
        <v>4.1803999999999997</v>
      </c>
      <c r="K319" s="1">
        <v>1538.3</v>
      </c>
      <c r="L319" s="1">
        <v>-0.20830000000000001</v>
      </c>
      <c r="M319" s="1">
        <v>5.8127000000000005E-4</v>
      </c>
      <c r="N319" s="1">
        <v>0.63646000000000003</v>
      </c>
      <c r="O319" s="1" t="s">
        <v>52</v>
      </c>
    </row>
    <row r="320" spans="2:15">
      <c r="B320" s="1">
        <v>46.5</v>
      </c>
      <c r="C320" s="1">
        <v>0.10131999999999999</v>
      </c>
      <c r="D320" s="1">
        <v>989.58</v>
      </c>
      <c r="E320" s="1">
        <v>1.0104999999999999E-3</v>
      </c>
      <c r="F320" s="1">
        <v>194.68</v>
      </c>
      <c r="G320" s="1">
        <v>194.79</v>
      </c>
      <c r="H320" s="1">
        <v>0.65824000000000005</v>
      </c>
      <c r="I320" s="1">
        <v>4.0430000000000001</v>
      </c>
      <c r="J320" s="1">
        <v>4.1805000000000003</v>
      </c>
      <c r="K320" s="1">
        <v>1538.4</v>
      </c>
      <c r="L320" s="1">
        <v>-0.20824000000000001</v>
      </c>
      <c r="M320" s="1">
        <v>5.8025000000000004E-4</v>
      </c>
      <c r="N320" s="1">
        <v>0.63658000000000003</v>
      </c>
      <c r="O320" s="1" t="s">
        <v>52</v>
      </c>
    </row>
    <row r="321" spans="2:15">
      <c r="B321" s="1">
        <v>46.6</v>
      </c>
      <c r="C321" s="1">
        <v>0.10131999999999999</v>
      </c>
      <c r="D321" s="1">
        <v>989.53</v>
      </c>
      <c r="E321" s="1">
        <v>1.0106E-3</v>
      </c>
      <c r="F321" s="1">
        <v>195.1</v>
      </c>
      <c r="G321" s="1">
        <v>195.2</v>
      </c>
      <c r="H321" s="1">
        <v>0.65954999999999997</v>
      </c>
      <c r="I321" s="1">
        <v>4.0426000000000002</v>
      </c>
      <c r="J321" s="1">
        <v>4.1805000000000003</v>
      </c>
      <c r="K321" s="1">
        <v>1538.6</v>
      </c>
      <c r="L321" s="1">
        <v>-0.20818</v>
      </c>
      <c r="M321" s="1">
        <v>5.7923999999999996E-4</v>
      </c>
      <c r="N321" s="1">
        <v>0.63670000000000004</v>
      </c>
      <c r="O321" s="1" t="s">
        <v>52</v>
      </c>
    </row>
    <row r="322" spans="2:15">
      <c r="B322" s="1">
        <v>46.7</v>
      </c>
      <c r="C322" s="1">
        <v>0.10131999999999999</v>
      </c>
      <c r="D322" s="1">
        <v>989.49</v>
      </c>
      <c r="E322" s="1">
        <v>1.0106E-3</v>
      </c>
      <c r="F322" s="1">
        <v>195.52</v>
      </c>
      <c r="G322" s="1">
        <v>195.62</v>
      </c>
      <c r="H322" s="1">
        <v>0.66085000000000005</v>
      </c>
      <c r="I322" s="1">
        <v>4.0420999999999996</v>
      </c>
      <c r="J322" s="1">
        <v>4.1805000000000003</v>
      </c>
      <c r="K322" s="1">
        <v>1538.7</v>
      </c>
      <c r="L322" s="1">
        <v>-0.20813000000000001</v>
      </c>
      <c r="M322" s="1">
        <v>5.7823E-4</v>
      </c>
      <c r="N322" s="1">
        <v>0.63682000000000005</v>
      </c>
      <c r="O322" s="1" t="s">
        <v>52</v>
      </c>
    </row>
    <row r="323" spans="2:15">
      <c r="B323" s="1">
        <v>46.8</v>
      </c>
      <c r="C323" s="1">
        <v>0.10131999999999999</v>
      </c>
      <c r="D323" s="1">
        <v>989.45</v>
      </c>
      <c r="E323" s="1">
        <v>1.0107E-3</v>
      </c>
      <c r="F323" s="1">
        <v>195.94</v>
      </c>
      <c r="G323" s="1">
        <v>196.04</v>
      </c>
      <c r="H323" s="1">
        <v>0.66215999999999997</v>
      </c>
      <c r="I323" s="1">
        <v>4.0415999999999999</v>
      </c>
      <c r="J323" s="1">
        <v>4.1805000000000003</v>
      </c>
      <c r="K323" s="1">
        <v>1538.8</v>
      </c>
      <c r="L323" s="1">
        <v>-0.20807</v>
      </c>
      <c r="M323" s="1">
        <v>5.7722999999999997E-4</v>
      </c>
      <c r="N323" s="1">
        <v>0.63693999999999995</v>
      </c>
      <c r="O323" s="1" t="s">
        <v>52</v>
      </c>
    </row>
    <row r="324" spans="2:15">
      <c r="B324" s="1">
        <v>46.9</v>
      </c>
      <c r="C324" s="1">
        <v>0.10131999999999999</v>
      </c>
      <c r="D324" s="1">
        <v>989.41</v>
      </c>
      <c r="E324" s="1">
        <v>1.0107E-3</v>
      </c>
      <c r="F324" s="1">
        <v>196.36</v>
      </c>
      <c r="G324" s="1">
        <v>196.46</v>
      </c>
      <c r="H324" s="1">
        <v>0.66347</v>
      </c>
      <c r="I324" s="1">
        <v>4.0411000000000001</v>
      </c>
      <c r="J324" s="1">
        <v>4.1805000000000003</v>
      </c>
      <c r="K324" s="1">
        <v>1538.9</v>
      </c>
      <c r="L324" s="1">
        <v>-0.20801</v>
      </c>
      <c r="M324" s="1">
        <v>5.7622999999999995E-4</v>
      </c>
      <c r="N324" s="1">
        <v>0.63705000000000001</v>
      </c>
      <c r="O324" s="1" t="s">
        <v>52</v>
      </c>
    </row>
    <row r="325" spans="2:15">
      <c r="B325" s="1">
        <v>47</v>
      </c>
      <c r="C325" s="1">
        <v>0.10131999999999999</v>
      </c>
      <c r="D325" s="1">
        <v>989.36</v>
      </c>
      <c r="E325" s="1">
        <v>1.0108000000000001E-3</v>
      </c>
      <c r="F325" s="1">
        <v>196.77</v>
      </c>
      <c r="G325" s="1">
        <v>196.88</v>
      </c>
      <c r="H325" s="1">
        <v>0.66476999999999997</v>
      </c>
      <c r="I325" s="1">
        <v>4.0407000000000002</v>
      </c>
      <c r="J325" s="1">
        <v>4.1806000000000001</v>
      </c>
      <c r="K325" s="1">
        <v>1539.1</v>
      </c>
      <c r="L325" s="1">
        <v>-0.20795</v>
      </c>
      <c r="M325" s="1">
        <v>5.7523000000000003E-4</v>
      </c>
      <c r="N325" s="1">
        <v>0.63717000000000001</v>
      </c>
      <c r="O325" s="1" t="s">
        <v>52</v>
      </c>
    </row>
    <row r="326" spans="2:15">
      <c r="B326" s="1">
        <v>47.1</v>
      </c>
      <c r="C326" s="1">
        <v>0.10131999999999999</v>
      </c>
      <c r="D326" s="1">
        <v>989.32</v>
      </c>
      <c r="E326" s="1">
        <v>1.0108000000000001E-3</v>
      </c>
      <c r="F326" s="1">
        <v>197.19</v>
      </c>
      <c r="G326" s="1">
        <v>197.29</v>
      </c>
      <c r="H326" s="1">
        <v>0.66608000000000001</v>
      </c>
      <c r="I326" s="1">
        <v>4.0401999999999996</v>
      </c>
      <c r="J326" s="1">
        <v>4.1806000000000001</v>
      </c>
      <c r="K326" s="1">
        <v>1539.2</v>
      </c>
      <c r="L326" s="1">
        <v>-0.2079</v>
      </c>
      <c r="M326" s="1">
        <v>5.7423000000000001E-4</v>
      </c>
      <c r="N326" s="1">
        <v>0.63729000000000002</v>
      </c>
      <c r="O326" s="1" t="s">
        <v>52</v>
      </c>
    </row>
    <row r="327" spans="2:15">
      <c r="B327" s="1">
        <v>47.2</v>
      </c>
      <c r="C327" s="1">
        <v>0.10131999999999999</v>
      </c>
      <c r="D327" s="1">
        <v>989.28</v>
      </c>
      <c r="E327" s="1">
        <v>1.0108000000000001E-3</v>
      </c>
      <c r="F327" s="1">
        <v>197.61</v>
      </c>
      <c r="G327" s="1">
        <v>197.71</v>
      </c>
      <c r="H327" s="1">
        <v>0.66737999999999997</v>
      </c>
      <c r="I327" s="1">
        <v>4.0396999999999998</v>
      </c>
      <c r="J327" s="1">
        <v>4.1806000000000001</v>
      </c>
      <c r="K327" s="1">
        <v>1539.3</v>
      </c>
      <c r="L327" s="1">
        <v>-0.20784</v>
      </c>
      <c r="M327" s="1">
        <v>5.7324000000000003E-4</v>
      </c>
      <c r="N327" s="1">
        <v>0.63741000000000003</v>
      </c>
      <c r="O327" s="1" t="s">
        <v>52</v>
      </c>
    </row>
    <row r="328" spans="2:15">
      <c r="B328" s="1">
        <v>47.3</v>
      </c>
      <c r="C328" s="1">
        <v>0.10131999999999999</v>
      </c>
      <c r="D328" s="1">
        <v>989.23</v>
      </c>
      <c r="E328" s="1">
        <v>1.0108999999999999E-3</v>
      </c>
      <c r="F328" s="1">
        <v>198.03</v>
      </c>
      <c r="G328" s="1">
        <v>198.13</v>
      </c>
      <c r="H328" s="1">
        <v>0.66869000000000001</v>
      </c>
      <c r="I328" s="1">
        <v>4.0392000000000001</v>
      </c>
      <c r="J328" s="1">
        <v>4.1806000000000001</v>
      </c>
      <c r="K328" s="1">
        <v>1539.4</v>
      </c>
      <c r="L328" s="1">
        <v>-0.20777999999999999</v>
      </c>
      <c r="M328" s="1">
        <v>5.7224000000000001E-4</v>
      </c>
      <c r="N328" s="1">
        <v>0.63751999999999998</v>
      </c>
      <c r="O328" s="1" t="s">
        <v>52</v>
      </c>
    </row>
    <row r="329" spans="2:15">
      <c r="B329" s="1">
        <v>47.4</v>
      </c>
      <c r="C329" s="1">
        <v>0.10131999999999999</v>
      </c>
      <c r="D329" s="1">
        <v>989.19</v>
      </c>
      <c r="E329" s="1">
        <v>1.0108999999999999E-3</v>
      </c>
      <c r="F329" s="1">
        <v>198.45</v>
      </c>
      <c r="G329" s="1">
        <v>198.55</v>
      </c>
      <c r="H329" s="1">
        <v>0.66998999999999997</v>
      </c>
      <c r="I329" s="1">
        <v>4.0387000000000004</v>
      </c>
      <c r="J329" s="1">
        <v>4.1806999999999999</v>
      </c>
      <c r="K329" s="1">
        <v>1539.6</v>
      </c>
      <c r="L329" s="1">
        <v>-0.20773</v>
      </c>
      <c r="M329" s="1">
        <v>5.7125999999999998E-4</v>
      </c>
      <c r="N329" s="1">
        <v>0.63763999999999998</v>
      </c>
      <c r="O329" s="1" t="s">
        <v>52</v>
      </c>
    </row>
    <row r="330" spans="2:15">
      <c r="B330" s="1">
        <v>47.5</v>
      </c>
      <c r="C330" s="1">
        <v>0.10131999999999999</v>
      </c>
      <c r="D330" s="1">
        <v>989.15</v>
      </c>
      <c r="E330" s="1">
        <v>1.011E-3</v>
      </c>
      <c r="F330" s="1">
        <v>198.86</v>
      </c>
      <c r="G330" s="1">
        <v>198.97</v>
      </c>
      <c r="H330" s="1">
        <v>0.67130000000000001</v>
      </c>
      <c r="I330" s="1">
        <v>4.0382999999999996</v>
      </c>
      <c r="J330" s="1">
        <v>4.1806999999999999</v>
      </c>
      <c r="K330" s="1">
        <v>1539.7</v>
      </c>
      <c r="L330" s="1">
        <v>-0.20766999999999999</v>
      </c>
      <c r="M330" s="1">
        <v>5.7027E-4</v>
      </c>
      <c r="N330" s="1">
        <v>0.63775999999999999</v>
      </c>
      <c r="O330" s="1" t="s">
        <v>52</v>
      </c>
    </row>
    <row r="331" spans="2:15">
      <c r="B331" s="1">
        <v>47.6</v>
      </c>
      <c r="C331" s="1">
        <v>0.10131999999999999</v>
      </c>
      <c r="D331" s="1">
        <v>989.1</v>
      </c>
      <c r="E331" s="1">
        <v>1.011E-3</v>
      </c>
      <c r="F331" s="1">
        <v>199.28</v>
      </c>
      <c r="G331" s="1">
        <v>199.38</v>
      </c>
      <c r="H331" s="1">
        <v>0.67259999999999998</v>
      </c>
      <c r="I331" s="1">
        <v>4.0377999999999998</v>
      </c>
      <c r="J331" s="1">
        <v>4.1806999999999999</v>
      </c>
      <c r="K331" s="1">
        <v>1539.8</v>
      </c>
      <c r="L331" s="1">
        <v>-0.20760999999999999</v>
      </c>
      <c r="M331" s="1">
        <v>5.6928999999999997E-4</v>
      </c>
      <c r="N331" s="1">
        <v>0.63787000000000005</v>
      </c>
      <c r="O331" s="1" t="s">
        <v>52</v>
      </c>
    </row>
    <row r="332" spans="2:15">
      <c r="B332" s="1">
        <v>47.7</v>
      </c>
      <c r="C332" s="1">
        <v>0.10131999999999999</v>
      </c>
      <c r="D332" s="1">
        <v>989.06</v>
      </c>
      <c r="E332" s="1">
        <v>1.0111E-3</v>
      </c>
      <c r="F332" s="1">
        <v>199.7</v>
      </c>
      <c r="G332" s="1">
        <v>199.8</v>
      </c>
      <c r="H332" s="1">
        <v>0.67390000000000005</v>
      </c>
      <c r="I332" s="1">
        <v>4.0373000000000001</v>
      </c>
      <c r="J332" s="1">
        <v>4.1806999999999999</v>
      </c>
      <c r="K332" s="1">
        <v>1539.9</v>
      </c>
      <c r="L332" s="1">
        <v>-0.20755000000000001</v>
      </c>
      <c r="M332" s="1">
        <v>5.6831000000000004E-4</v>
      </c>
      <c r="N332" s="1">
        <v>0.63798999999999995</v>
      </c>
      <c r="O332" s="1" t="s">
        <v>52</v>
      </c>
    </row>
    <row r="333" spans="2:15">
      <c r="B333" s="1">
        <v>47.8</v>
      </c>
      <c r="C333" s="1">
        <v>0.10131999999999999</v>
      </c>
      <c r="D333" s="1">
        <v>989.01</v>
      </c>
      <c r="E333" s="1">
        <v>1.0111E-3</v>
      </c>
      <c r="F333" s="1">
        <v>200.12</v>
      </c>
      <c r="G333" s="1">
        <v>200.22</v>
      </c>
      <c r="H333" s="1">
        <v>0.67520999999999998</v>
      </c>
      <c r="I333" s="1">
        <v>4.0368000000000004</v>
      </c>
      <c r="J333" s="1">
        <v>4.1807999999999996</v>
      </c>
      <c r="K333" s="1">
        <v>1540</v>
      </c>
      <c r="L333" s="1">
        <v>-0.20749999999999999</v>
      </c>
      <c r="M333" s="1">
        <v>5.6733E-4</v>
      </c>
      <c r="N333" s="1">
        <v>0.63810999999999996</v>
      </c>
      <c r="O333" s="1" t="s">
        <v>52</v>
      </c>
    </row>
    <row r="334" spans="2:15">
      <c r="B334" s="1">
        <v>47.9</v>
      </c>
      <c r="C334" s="1">
        <v>0.10131999999999999</v>
      </c>
      <c r="D334" s="1">
        <v>988.97</v>
      </c>
      <c r="E334" s="1">
        <v>1.0112000000000001E-3</v>
      </c>
      <c r="F334" s="1">
        <v>200.54</v>
      </c>
      <c r="G334" s="1">
        <v>200.64</v>
      </c>
      <c r="H334" s="1">
        <v>0.67650999999999994</v>
      </c>
      <c r="I334" s="1">
        <v>4.0362999999999998</v>
      </c>
      <c r="J334" s="1">
        <v>4.1807999999999996</v>
      </c>
      <c r="K334" s="1">
        <v>1540.2</v>
      </c>
      <c r="L334" s="1">
        <v>-0.20744000000000001</v>
      </c>
      <c r="M334" s="1">
        <v>5.6636000000000002E-4</v>
      </c>
      <c r="N334" s="1">
        <v>0.63822000000000001</v>
      </c>
      <c r="O334" s="1" t="s">
        <v>52</v>
      </c>
    </row>
    <row r="335" spans="2:15">
      <c r="B335" s="1">
        <v>48</v>
      </c>
      <c r="C335" s="1">
        <v>0.10131999999999999</v>
      </c>
      <c r="D335" s="1">
        <v>988.93</v>
      </c>
      <c r="E335" s="1">
        <v>1.0112000000000001E-3</v>
      </c>
      <c r="F335" s="1">
        <v>200.95</v>
      </c>
      <c r="G335" s="1">
        <v>201.06</v>
      </c>
      <c r="H335" s="1">
        <v>0.67781000000000002</v>
      </c>
      <c r="I335" s="1">
        <v>4.0358999999999998</v>
      </c>
      <c r="J335" s="1">
        <v>4.1807999999999996</v>
      </c>
      <c r="K335" s="1">
        <v>1540.3</v>
      </c>
      <c r="L335" s="1">
        <v>-0.20738000000000001</v>
      </c>
      <c r="M335" s="1">
        <v>5.6539000000000003E-4</v>
      </c>
      <c r="N335" s="1">
        <v>0.63834000000000002</v>
      </c>
      <c r="O335" s="1" t="s">
        <v>52</v>
      </c>
    </row>
    <row r="336" spans="2:15">
      <c r="B336" s="1">
        <v>48.1</v>
      </c>
      <c r="C336" s="1">
        <v>0.10131999999999999</v>
      </c>
      <c r="D336" s="1">
        <v>988.88</v>
      </c>
      <c r="E336" s="1">
        <v>1.0112000000000001E-3</v>
      </c>
      <c r="F336" s="1">
        <v>201.37</v>
      </c>
      <c r="G336" s="1">
        <v>201.47</v>
      </c>
      <c r="H336" s="1">
        <v>0.67910999999999999</v>
      </c>
      <c r="I336" s="1">
        <v>4.0354000000000001</v>
      </c>
      <c r="J336" s="1">
        <v>4.1807999999999996</v>
      </c>
      <c r="K336" s="1">
        <v>1540.4</v>
      </c>
      <c r="L336" s="1">
        <v>-0.20732999999999999</v>
      </c>
      <c r="M336" s="1">
        <v>5.6442000000000005E-4</v>
      </c>
      <c r="N336" s="1">
        <v>0.63846000000000003</v>
      </c>
      <c r="O336" s="1" t="s">
        <v>52</v>
      </c>
    </row>
    <row r="337" spans="2:15">
      <c r="B337" s="1">
        <v>48.2</v>
      </c>
      <c r="C337" s="1">
        <v>0.10131999999999999</v>
      </c>
      <c r="D337" s="1">
        <v>988.84</v>
      </c>
      <c r="E337" s="1">
        <v>1.0112999999999999E-3</v>
      </c>
      <c r="F337" s="1">
        <v>201.79</v>
      </c>
      <c r="G337" s="1">
        <v>201.89</v>
      </c>
      <c r="H337" s="1">
        <v>0.68040999999999996</v>
      </c>
      <c r="I337" s="1">
        <v>4.0349000000000004</v>
      </c>
      <c r="J337" s="1">
        <v>4.1809000000000003</v>
      </c>
      <c r="K337" s="1">
        <v>1540.5</v>
      </c>
      <c r="L337" s="1">
        <v>-0.20727000000000001</v>
      </c>
      <c r="M337" s="1">
        <v>5.6344999999999995E-4</v>
      </c>
      <c r="N337" s="1">
        <v>0.63856999999999997</v>
      </c>
      <c r="O337" s="1" t="s">
        <v>52</v>
      </c>
    </row>
    <row r="338" spans="2:15">
      <c r="B338" s="1">
        <v>48.3</v>
      </c>
      <c r="C338" s="1">
        <v>0.10131999999999999</v>
      </c>
      <c r="D338" s="1">
        <v>988.79</v>
      </c>
      <c r="E338" s="1">
        <v>1.0112999999999999E-3</v>
      </c>
      <c r="F338" s="1">
        <v>202.21</v>
      </c>
      <c r="G338" s="1">
        <v>202.31</v>
      </c>
      <c r="H338" s="1">
        <v>0.68171000000000004</v>
      </c>
      <c r="I338" s="1">
        <v>4.0343999999999998</v>
      </c>
      <c r="J338" s="1">
        <v>4.1809000000000003</v>
      </c>
      <c r="K338" s="1">
        <v>1540.6</v>
      </c>
      <c r="L338" s="1">
        <v>-0.20721000000000001</v>
      </c>
      <c r="M338" s="1">
        <v>5.6249000000000002E-4</v>
      </c>
      <c r="N338" s="1">
        <v>0.63868999999999998</v>
      </c>
      <c r="O338" s="1" t="s">
        <v>52</v>
      </c>
    </row>
    <row r="339" spans="2:15">
      <c r="B339" s="1">
        <v>48.4</v>
      </c>
      <c r="C339" s="1">
        <v>0.10131999999999999</v>
      </c>
      <c r="D339" s="1">
        <v>988.75</v>
      </c>
      <c r="E339" s="1">
        <v>1.0114E-3</v>
      </c>
      <c r="F339" s="1">
        <v>202.63</v>
      </c>
      <c r="G339" s="1">
        <v>202.73</v>
      </c>
      <c r="H339" s="1">
        <v>0.68301000000000001</v>
      </c>
      <c r="I339" s="1">
        <v>4.0339</v>
      </c>
      <c r="J339" s="1">
        <v>4.1809000000000003</v>
      </c>
      <c r="K339" s="1">
        <v>1540.8</v>
      </c>
      <c r="L339" s="1">
        <v>-0.20716000000000001</v>
      </c>
      <c r="M339" s="1">
        <v>5.6152999999999997E-4</v>
      </c>
      <c r="N339" s="1">
        <v>0.63880000000000003</v>
      </c>
      <c r="O339" s="1" t="s">
        <v>52</v>
      </c>
    </row>
    <row r="340" spans="2:15">
      <c r="B340" s="1">
        <v>48.5</v>
      </c>
      <c r="C340" s="1">
        <v>0.10131999999999999</v>
      </c>
      <c r="D340" s="1">
        <v>988.71</v>
      </c>
      <c r="E340" s="1">
        <v>1.0114E-3</v>
      </c>
      <c r="F340" s="1">
        <v>203.04</v>
      </c>
      <c r="G340" s="1">
        <v>203.15</v>
      </c>
      <c r="H340" s="1">
        <v>0.68430999999999997</v>
      </c>
      <c r="I340" s="1">
        <v>4.0334000000000003</v>
      </c>
      <c r="J340" s="1">
        <v>4.1809000000000003</v>
      </c>
      <c r="K340" s="1">
        <v>1540.9</v>
      </c>
      <c r="L340" s="1">
        <v>-0.20710000000000001</v>
      </c>
      <c r="M340" s="1">
        <v>5.6057000000000004E-4</v>
      </c>
      <c r="N340" s="1">
        <v>0.63892000000000004</v>
      </c>
      <c r="O340" s="1" t="s">
        <v>52</v>
      </c>
    </row>
    <row r="341" spans="2:15">
      <c r="B341" s="1">
        <v>48.6</v>
      </c>
      <c r="C341" s="1">
        <v>0.10131999999999999</v>
      </c>
      <c r="D341" s="1">
        <v>988.66</v>
      </c>
      <c r="E341" s="1">
        <v>1.0115E-3</v>
      </c>
      <c r="F341" s="1">
        <v>203.46</v>
      </c>
      <c r="G341" s="1">
        <v>203.56</v>
      </c>
      <c r="H341" s="1">
        <v>0.68561000000000005</v>
      </c>
      <c r="I341" s="1">
        <v>4.0330000000000004</v>
      </c>
      <c r="J341" s="1">
        <v>4.181</v>
      </c>
      <c r="K341" s="1">
        <v>1541</v>
      </c>
      <c r="L341" s="1">
        <v>-0.20704</v>
      </c>
      <c r="M341" s="1">
        <v>5.5960999999999999E-4</v>
      </c>
      <c r="N341" s="1">
        <v>0.63902999999999999</v>
      </c>
      <c r="O341" s="1" t="s">
        <v>52</v>
      </c>
    </row>
    <row r="342" spans="2:15">
      <c r="B342" s="1">
        <v>48.7</v>
      </c>
      <c r="C342" s="1">
        <v>0.10131999999999999</v>
      </c>
      <c r="D342" s="1">
        <v>988.62</v>
      </c>
      <c r="E342" s="1">
        <v>1.0115E-3</v>
      </c>
      <c r="F342" s="1">
        <v>203.88</v>
      </c>
      <c r="G342" s="1">
        <v>203.98</v>
      </c>
      <c r="H342" s="1">
        <v>0.68691000000000002</v>
      </c>
      <c r="I342" s="1">
        <v>4.0324999999999998</v>
      </c>
      <c r="J342" s="1">
        <v>4.181</v>
      </c>
      <c r="K342" s="1">
        <v>1541.1</v>
      </c>
      <c r="L342" s="1">
        <v>-0.20698</v>
      </c>
      <c r="M342" s="1">
        <v>5.5865999999999999E-4</v>
      </c>
      <c r="N342" s="1">
        <v>0.63915</v>
      </c>
      <c r="O342" s="1" t="s">
        <v>52</v>
      </c>
    </row>
    <row r="343" spans="2:15">
      <c r="B343" s="1">
        <v>48.8</v>
      </c>
      <c r="C343" s="1">
        <v>0.10131999999999999</v>
      </c>
      <c r="D343" s="1">
        <v>988.57</v>
      </c>
      <c r="E343" s="1">
        <v>1.0116000000000001E-3</v>
      </c>
      <c r="F343" s="1">
        <v>204.3</v>
      </c>
      <c r="G343" s="1">
        <v>204.4</v>
      </c>
      <c r="H343" s="1">
        <v>0.68820999999999999</v>
      </c>
      <c r="I343" s="1">
        <v>4.032</v>
      </c>
      <c r="J343" s="1">
        <v>4.181</v>
      </c>
      <c r="K343" s="1">
        <v>1541.2</v>
      </c>
      <c r="L343" s="1">
        <v>-0.20693</v>
      </c>
      <c r="M343" s="1">
        <v>5.5771E-4</v>
      </c>
      <c r="N343" s="1">
        <v>0.63926000000000005</v>
      </c>
      <c r="O343" s="1" t="s">
        <v>52</v>
      </c>
    </row>
    <row r="344" spans="2:15">
      <c r="B344" s="1">
        <v>48.9</v>
      </c>
      <c r="C344" s="1">
        <v>0.10131999999999999</v>
      </c>
      <c r="D344" s="1">
        <v>988.53</v>
      </c>
      <c r="E344" s="1">
        <v>1.0116000000000001E-3</v>
      </c>
      <c r="F344" s="1">
        <v>204.72</v>
      </c>
      <c r="G344" s="1">
        <v>204.82</v>
      </c>
      <c r="H344" s="1">
        <v>0.68950999999999996</v>
      </c>
      <c r="I344" s="1">
        <v>4.0315000000000003</v>
      </c>
      <c r="J344" s="1">
        <v>4.181</v>
      </c>
      <c r="K344" s="1">
        <v>1541.3</v>
      </c>
      <c r="L344" s="1">
        <v>-0.20687</v>
      </c>
      <c r="M344" s="1">
        <v>5.5676E-4</v>
      </c>
      <c r="N344" s="1">
        <v>0.63937999999999995</v>
      </c>
      <c r="O344" s="1" t="s">
        <v>52</v>
      </c>
    </row>
    <row r="345" spans="2:15">
      <c r="B345" s="1">
        <v>49</v>
      </c>
      <c r="C345" s="1">
        <v>0.10131999999999999</v>
      </c>
      <c r="D345" s="1">
        <v>988.48</v>
      </c>
      <c r="E345" s="1">
        <v>1.0116999999999999E-3</v>
      </c>
      <c r="F345" s="1">
        <v>205.13</v>
      </c>
      <c r="G345" s="1">
        <v>205.24</v>
      </c>
      <c r="H345" s="1">
        <v>0.69081000000000004</v>
      </c>
      <c r="I345" s="1">
        <v>4.0309999999999997</v>
      </c>
      <c r="J345" s="1">
        <v>4.1810999999999998</v>
      </c>
      <c r="K345" s="1">
        <v>1541.5</v>
      </c>
      <c r="L345" s="1">
        <v>-0.20680999999999999</v>
      </c>
      <c r="M345" s="1">
        <v>5.5581999999999995E-4</v>
      </c>
      <c r="N345" s="1">
        <v>0.63949</v>
      </c>
      <c r="O345" s="1" t="s">
        <v>52</v>
      </c>
    </row>
    <row r="346" spans="2:15">
      <c r="B346" s="1">
        <v>49.1</v>
      </c>
      <c r="C346" s="1">
        <v>0.10131999999999999</v>
      </c>
      <c r="D346" s="1">
        <v>988.44</v>
      </c>
      <c r="E346" s="1">
        <v>1.0116999999999999E-3</v>
      </c>
      <c r="F346" s="1">
        <v>205.55</v>
      </c>
      <c r="G346" s="1">
        <v>205.66</v>
      </c>
      <c r="H346" s="1">
        <v>0.69211</v>
      </c>
      <c r="I346" s="1">
        <v>4.0305</v>
      </c>
      <c r="J346" s="1">
        <v>4.1810999999999998</v>
      </c>
      <c r="K346" s="1">
        <v>1541.6</v>
      </c>
      <c r="L346" s="1">
        <v>-0.20676</v>
      </c>
      <c r="M346" s="1">
        <v>5.5488E-4</v>
      </c>
      <c r="N346" s="1">
        <v>0.63959999999999995</v>
      </c>
      <c r="O346" s="1" t="s">
        <v>52</v>
      </c>
    </row>
    <row r="347" spans="2:15">
      <c r="B347" s="1">
        <v>49.2</v>
      </c>
      <c r="C347" s="1">
        <v>0.10131999999999999</v>
      </c>
      <c r="D347" s="1">
        <v>988.39</v>
      </c>
      <c r="E347" s="1">
        <v>1.0116999999999999E-3</v>
      </c>
      <c r="F347" s="1">
        <v>205.97</v>
      </c>
      <c r="G347" s="1">
        <v>206.07</v>
      </c>
      <c r="H347" s="1">
        <v>0.69340000000000002</v>
      </c>
      <c r="I347" s="1">
        <v>4.0301</v>
      </c>
      <c r="J347" s="1">
        <v>4.1810999999999998</v>
      </c>
      <c r="K347" s="1">
        <v>1541.7</v>
      </c>
      <c r="L347" s="1">
        <v>-0.20669999999999999</v>
      </c>
      <c r="M347" s="1">
        <v>5.5394000000000005E-4</v>
      </c>
      <c r="N347" s="1">
        <v>0.63971999999999996</v>
      </c>
      <c r="O347" s="1" t="s">
        <v>52</v>
      </c>
    </row>
    <row r="348" spans="2:15">
      <c r="B348" s="1">
        <v>49.3</v>
      </c>
      <c r="C348" s="1">
        <v>0.10131999999999999</v>
      </c>
      <c r="D348" s="1">
        <v>988.35</v>
      </c>
      <c r="E348" s="1">
        <v>1.0118E-3</v>
      </c>
      <c r="F348" s="1">
        <v>206.39</v>
      </c>
      <c r="G348" s="1">
        <v>206.49</v>
      </c>
      <c r="H348" s="1">
        <v>0.69469999999999998</v>
      </c>
      <c r="I348" s="1">
        <v>4.0296000000000003</v>
      </c>
      <c r="J348" s="1">
        <v>4.1810999999999998</v>
      </c>
      <c r="K348" s="1">
        <v>1541.8</v>
      </c>
      <c r="L348" s="1">
        <v>-0.20663999999999999</v>
      </c>
      <c r="M348" s="1">
        <v>5.53E-4</v>
      </c>
      <c r="N348" s="1">
        <v>0.63983000000000001</v>
      </c>
      <c r="O348" s="1" t="s">
        <v>52</v>
      </c>
    </row>
    <row r="349" spans="2:15">
      <c r="B349" s="1">
        <v>49.4</v>
      </c>
      <c r="C349" s="1">
        <v>0.10131999999999999</v>
      </c>
      <c r="D349" s="1">
        <v>988.31</v>
      </c>
      <c r="E349" s="1">
        <v>1.0118E-3</v>
      </c>
      <c r="F349" s="1">
        <v>206.81</v>
      </c>
      <c r="G349" s="1">
        <v>206.91</v>
      </c>
      <c r="H349" s="1">
        <v>0.69599999999999995</v>
      </c>
      <c r="I349" s="1">
        <v>4.0290999999999997</v>
      </c>
      <c r="J349" s="1">
        <v>4.1811999999999996</v>
      </c>
      <c r="K349" s="1">
        <v>1541.9</v>
      </c>
      <c r="L349" s="1">
        <v>-0.20659</v>
      </c>
      <c r="M349" s="1">
        <v>5.5206999999999999E-4</v>
      </c>
      <c r="N349" s="1">
        <v>0.63993999999999995</v>
      </c>
      <c r="O349" s="1" t="s">
        <v>52</v>
      </c>
    </row>
    <row r="350" spans="2:15">
      <c r="B350" s="1">
        <v>49.5</v>
      </c>
      <c r="C350" s="1">
        <v>0.10131999999999999</v>
      </c>
      <c r="D350" s="1">
        <v>988.26</v>
      </c>
      <c r="E350" s="1">
        <v>1.0119E-3</v>
      </c>
      <c r="F350" s="1">
        <v>207.23</v>
      </c>
      <c r="G350" s="1">
        <v>207.33</v>
      </c>
      <c r="H350" s="1">
        <v>0.69728999999999997</v>
      </c>
      <c r="I350" s="1">
        <v>4.0286</v>
      </c>
      <c r="J350" s="1">
        <v>4.1811999999999996</v>
      </c>
      <c r="K350" s="1">
        <v>1542</v>
      </c>
      <c r="L350" s="1">
        <v>-0.20652999999999999</v>
      </c>
      <c r="M350" s="1">
        <v>5.5113999999999998E-4</v>
      </c>
      <c r="N350" s="1">
        <v>0.64005999999999996</v>
      </c>
      <c r="O350" s="1" t="s">
        <v>52</v>
      </c>
    </row>
    <row r="351" spans="2:15">
      <c r="B351" s="1">
        <v>49.6</v>
      </c>
      <c r="C351" s="1">
        <v>0.10131999999999999</v>
      </c>
      <c r="D351" s="1">
        <v>988.22</v>
      </c>
      <c r="E351" s="1">
        <v>1.0119E-3</v>
      </c>
      <c r="F351" s="1">
        <v>207.64</v>
      </c>
      <c r="G351" s="1">
        <v>207.75</v>
      </c>
      <c r="H351" s="1">
        <v>0.69859000000000004</v>
      </c>
      <c r="I351" s="1">
        <v>4.0281000000000002</v>
      </c>
      <c r="J351" s="1">
        <v>4.1811999999999996</v>
      </c>
      <c r="K351" s="1">
        <v>1542.1</v>
      </c>
      <c r="L351" s="1">
        <v>-0.20646999999999999</v>
      </c>
      <c r="M351" s="1">
        <v>5.5020999999999998E-4</v>
      </c>
      <c r="N351" s="1">
        <v>0.64017000000000002</v>
      </c>
      <c r="O351" s="1" t="s">
        <v>52</v>
      </c>
    </row>
    <row r="352" spans="2:15">
      <c r="B352" s="1">
        <v>49.7</v>
      </c>
      <c r="C352" s="1">
        <v>0.10131999999999999</v>
      </c>
      <c r="D352" s="1">
        <v>988.17</v>
      </c>
      <c r="E352" s="1">
        <v>1.0120000000000001E-3</v>
      </c>
      <c r="F352" s="1">
        <v>208.06</v>
      </c>
      <c r="G352" s="1">
        <v>208.16</v>
      </c>
      <c r="H352" s="1">
        <v>0.69987999999999995</v>
      </c>
      <c r="I352" s="1">
        <v>4.0275999999999996</v>
      </c>
      <c r="J352" s="1">
        <v>4.1813000000000002</v>
      </c>
      <c r="K352" s="1">
        <v>1542.2</v>
      </c>
      <c r="L352" s="1">
        <v>-0.20641999999999999</v>
      </c>
      <c r="M352" s="1">
        <v>5.4927999999999997E-4</v>
      </c>
      <c r="N352" s="1">
        <v>0.64027999999999996</v>
      </c>
      <c r="O352" s="1" t="s">
        <v>52</v>
      </c>
    </row>
    <row r="353" spans="2:15">
      <c r="B353" s="1">
        <v>49.8</v>
      </c>
      <c r="C353" s="1">
        <v>0.10131999999999999</v>
      </c>
      <c r="D353" s="1">
        <v>988.13</v>
      </c>
      <c r="E353" s="1">
        <v>1.0120000000000001E-3</v>
      </c>
      <c r="F353" s="1">
        <v>208.48</v>
      </c>
      <c r="G353" s="1">
        <v>208.58</v>
      </c>
      <c r="H353" s="1">
        <v>0.70118000000000003</v>
      </c>
      <c r="I353" s="1">
        <v>4.0271999999999997</v>
      </c>
      <c r="J353" s="1">
        <v>4.1813000000000002</v>
      </c>
      <c r="K353" s="1">
        <v>1542.4</v>
      </c>
      <c r="L353" s="1">
        <v>-0.20635999999999999</v>
      </c>
      <c r="M353" s="1">
        <v>5.4836000000000001E-4</v>
      </c>
      <c r="N353" s="1">
        <v>0.64039999999999997</v>
      </c>
      <c r="O353" s="1" t="s">
        <v>52</v>
      </c>
    </row>
    <row r="354" spans="2:15">
      <c r="B354" s="1">
        <v>49.9</v>
      </c>
      <c r="C354" s="1">
        <v>0.10131999999999999</v>
      </c>
      <c r="D354" s="1">
        <v>988.08</v>
      </c>
      <c r="E354" s="1">
        <v>1.0120999999999999E-3</v>
      </c>
      <c r="F354" s="1">
        <v>208.9</v>
      </c>
      <c r="G354" s="1">
        <v>209</v>
      </c>
      <c r="H354" s="1">
        <v>0.70247000000000004</v>
      </c>
      <c r="I354" s="1">
        <v>4.0266999999999999</v>
      </c>
      <c r="J354" s="1">
        <v>4.1813000000000002</v>
      </c>
      <c r="K354" s="1">
        <v>1542.5</v>
      </c>
      <c r="L354" s="1">
        <v>-0.20630000000000001</v>
      </c>
      <c r="M354" s="1">
        <v>5.4743999999999995E-4</v>
      </c>
      <c r="N354" s="1">
        <v>0.64051000000000002</v>
      </c>
      <c r="O354" s="1" t="s">
        <v>52</v>
      </c>
    </row>
    <row r="355" spans="2:15">
      <c r="B355" s="1">
        <v>50</v>
      </c>
      <c r="C355" s="1">
        <v>0.10131999999999999</v>
      </c>
      <c r="D355" s="1">
        <v>988.04</v>
      </c>
      <c r="E355" s="1">
        <v>1.0120999999999999E-3</v>
      </c>
      <c r="F355" s="1">
        <v>209.32</v>
      </c>
      <c r="G355" s="1">
        <v>209.42</v>
      </c>
      <c r="H355" s="1">
        <v>0.70377000000000001</v>
      </c>
      <c r="I355" s="1">
        <v>4.0262000000000002</v>
      </c>
      <c r="J355" s="1">
        <v>4.1813000000000002</v>
      </c>
      <c r="K355" s="1">
        <v>1542.6</v>
      </c>
      <c r="L355" s="1">
        <v>-0.20624999999999999</v>
      </c>
      <c r="M355" s="1">
        <v>5.4651999999999999E-4</v>
      </c>
      <c r="N355" s="1">
        <v>0.64061999999999997</v>
      </c>
      <c r="O355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Diaz Pego</dc:creator>
  <cp:keywords/>
  <dc:description/>
  <cp:lastModifiedBy/>
  <cp:revision/>
  <dcterms:created xsi:type="dcterms:W3CDTF">2026-03-05T01:03:49Z</dcterms:created>
  <dcterms:modified xsi:type="dcterms:W3CDTF">2026-07-16T16:19:40Z</dcterms:modified>
  <cp:category/>
  <cp:contentStatus/>
</cp:coreProperties>
</file>